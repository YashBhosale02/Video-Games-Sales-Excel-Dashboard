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S Course\Project\EXCEL PROJECT\"/>
    </mc:Choice>
  </mc:AlternateContent>
  <xr:revisionPtr revIDLastSave="0" documentId="13_ncr:1_{5427774A-9970-4A45-8360-714B916E65BF}" xr6:coauthVersionLast="47" xr6:coauthVersionMax="47" xr10:uidLastSave="{00000000-0000-0000-0000-000000000000}"/>
  <bookViews>
    <workbookView xWindow="-108" yWindow="-108" windowWidth="23256" windowHeight="12576" activeTab="3" xr2:uid="{FD279696-C086-4BA2-8A81-8EF23F80146C}"/>
  </bookViews>
  <sheets>
    <sheet name="vgsales" sheetId="1" r:id="rId1"/>
    <sheet name="SUMMARY" sheetId="4" r:id="rId2"/>
    <sheet name="CHARTS" sheetId="5" r:id="rId3"/>
    <sheet name="DASHBOARD" sheetId="14" r:id="rId4"/>
  </sheets>
  <definedNames>
    <definedName name="_xlchart.v1.0" hidden="1">CHARTS!$C$134:$C$143</definedName>
    <definedName name="_xlchart.v1.1" hidden="1">CHARTS!$D$133</definedName>
    <definedName name="_xlchart.v1.2" hidden="1">CHARTS!$D$134:$D$143</definedName>
    <definedName name="_xlchart.v1.3" hidden="1">CHARTS!$F$115:$F$124</definedName>
    <definedName name="_xlchart.v1.4" hidden="1">CHARTS!$G$114</definedName>
    <definedName name="_xlchart.v1.5" hidden="1">CHARTS!$G$115:$G$124</definedName>
    <definedName name="_xlchart.v1.6" hidden="1">CHARTS!$F$115:$F$124</definedName>
    <definedName name="_xlchart.v1.7" hidden="1">CHARTS!$G$114</definedName>
    <definedName name="_xlchart.v1.8" hidden="1">CHARTS!$G$115:$G$124</definedName>
    <definedName name="Slicer_Genr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21" i="14" l="1"/>
  <c r="D144" i="5"/>
  <c r="D143" i="5"/>
  <c r="D142" i="5"/>
  <c r="D141" i="5"/>
  <c r="D140" i="5"/>
  <c r="D139" i="5"/>
  <c r="D138" i="5"/>
  <c r="D137" i="5"/>
  <c r="D136" i="5"/>
  <c r="D135" i="5"/>
  <c r="D134" i="5"/>
  <c r="E6" i="4"/>
  <c r="D6" i="4"/>
  <c r="C6" i="4"/>
  <c r="B6" i="4"/>
  <c r="A6" i="4"/>
  <c r="D7" i="4" l="1"/>
  <c r="C7" i="4"/>
  <c r="B7" i="4"/>
  <c r="E7" i="4"/>
</calcChain>
</file>

<file path=xl/sharedStrings.xml><?xml version="1.0" encoding="utf-8"?>
<sst xmlns="http://schemas.openxmlformats.org/spreadsheetml/2006/main" count="3329" uniqueCount="787">
  <si>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</si>
  <si>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</si>
  <si>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</si>
  <si>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</si>
  <si>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</si>
  <si>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</si>
  <si>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</si>
  <si>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</si>
  <si>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</si>
  <si>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</si>
  <si>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</si>
  <si>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</si>
  <si>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</si>
  <si>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</si>
  <si>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</si>
  <si>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</si>
  <si>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</si>
  <si>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</si>
  <si>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</si>
  <si>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</si>
  <si>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</si>
  <si>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</si>
  <si>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</si>
  <si>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</si>
  <si>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</si>
  <si>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</si>
  <si>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</si>
  <si>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</si>
  <si>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</si>
  <si>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</si>
  <si>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</si>
  <si>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</si>
  <si>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</si>
  <si>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</si>
  <si>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</si>
  <si>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</si>
  <si>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</si>
  <si>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</si>
  <si>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</si>
  <si>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</si>
  <si>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</si>
  <si>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</si>
  <si>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</si>
  <si>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</si>
  <si>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</si>
  <si>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</si>
  <si>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</si>
  <si>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</si>
  <si>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</si>
  <si>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</si>
  <si>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</si>
  <si>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</si>
  <si>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</si>
  <si>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</si>
  <si>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</si>
  <si>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</si>
  <si>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</si>
  <si>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</si>
  <si>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</si>
  <si>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</si>
  <si>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</si>
  <si>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</si>
  <si>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</si>
  <si>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</si>
  <si>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</si>
  <si>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</si>
  <si>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</si>
  <si>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</si>
  <si>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</si>
  <si>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</si>
  <si>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</si>
  <si>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</si>
  <si>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</si>
  <si>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</si>
  <si>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</si>
  <si>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</si>
  <si>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</si>
  <si>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</si>
  <si>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</si>
  <si>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</si>
  <si>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</si>
  <si>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</si>
  <si>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</si>
  <si>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</si>
  <si>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</si>
  <si>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</si>
  <si>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</si>
  <si>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</si>
  <si>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</si>
  <si>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</si>
  <si>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</si>
  <si>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</si>
  <si>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</si>
  <si>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</si>
  <si>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</si>
  <si>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</si>
  <si>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</si>
  <si>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</si>
  <si>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</si>
  <si>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</si>
  <si>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</si>
  <si>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</si>
  <si>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</si>
  <si>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</si>
  <si>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</si>
  <si>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</si>
  <si>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</si>
  <si>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</si>
  <si>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</si>
  <si>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</si>
  <si>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</si>
  <si>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</si>
  <si>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</si>
  <si>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</si>
  <si>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</si>
  <si>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</si>
  <si>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</si>
  <si>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</si>
  <si>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</si>
  <si>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</si>
  <si>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</si>
  <si>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</si>
  <si>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</si>
  <si>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</si>
  <si>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</si>
  <si>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</si>
  <si>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</si>
  <si>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</si>
  <si>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</si>
  <si>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</si>
  <si>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</si>
  <si>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</si>
  <si>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</si>
  <si>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</si>
  <si>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</si>
  <si>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</si>
  <si>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</si>
  <si>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</si>
  <si>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</si>
  <si>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</si>
  <si>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</si>
  <si>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</si>
  <si>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</si>
  <si>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</si>
  <si>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</si>
  <si>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</si>
  <si>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</si>
  <si>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</si>
  <si>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</si>
  <si>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</si>
  <si>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</si>
  <si>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</si>
  <si>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</si>
  <si>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</si>
  <si>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</si>
  <si>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</si>
  <si>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</si>
  <si>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</si>
  <si>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</si>
  <si>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</si>
  <si>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</si>
  <si>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</si>
  <si>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</si>
  <si>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</si>
  <si>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</si>
  <si>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</si>
  <si>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</si>
  <si>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</si>
  <si>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</si>
  <si>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</si>
  <si>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</si>
  <si>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</si>
  <si>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</si>
  <si>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</si>
  <si>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</si>
  <si>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</si>
  <si>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</si>
  <si>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</si>
  <si>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</si>
  <si>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</si>
  <si>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</si>
  <si>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</si>
  <si>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</si>
  <si>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</si>
  <si>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</si>
  <si>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</si>
  <si>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</si>
  <si>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</si>
  <si>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</si>
  <si>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</si>
  <si>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</si>
  <si>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</si>
  <si>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</si>
  <si>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</si>
  <si>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</si>
  <si>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</si>
  <si>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</si>
  <si>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</si>
  <si>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</si>
  <si>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</si>
  <si>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</si>
  <si>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</si>
  <si>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</si>
  <si>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</si>
  <si>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</si>
  <si>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</si>
  <si>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</si>
  <si>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</si>
  <si>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</si>
  <si>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</si>
  <si>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</si>
  <si>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</si>
  <si>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</si>
  <si>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</si>
  <si>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</si>
  <si>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</si>
  <si>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</si>
  <si>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</si>
  <si>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</si>
  <si>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</si>
  <si>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</si>
  <si>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</si>
  <si>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</si>
  <si>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</si>
  <si>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</si>
  <si>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</si>
  <si>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</si>
  <si>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</si>
  <si>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</si>
  <si>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</si>
  <si>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</si>
  <si>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</si>
  <si>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</si>
  <si>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</si>
  <si>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</si>
  <si>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</si>
  <si>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</si>
  <si>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</si>
  <si>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</si>
  <si>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</si>
  <si>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</si>
  <si>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</si>
  <si>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</si>
  <si>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</si>
  <si>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</si>
  <si>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</si>
  <si>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</si>
  <si>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</si>
  <si>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</si>
  <si>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</si>
  <si>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</si>
  <si>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</si>
  <si>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</si>
  <si>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</si>
  <si>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</si>
  <si>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</si>
  <si>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</si>
  <si>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</si>
  <si>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</si>
  <si>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</si>
  <si>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</si>
  <si>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</si>
  <si>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</si>
  <si>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</si>
  <si>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</si>
  <si>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</si>
  <si>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</si>
  <si>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</si>
  <si>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</si>
  <si>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</si>
  <si>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</si>
  <si>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</si>
  <si>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</si>
  <si>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</si>
  <si>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</si>
  <si>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</si>
  <si>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</si>
  <si>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</si>
  <si>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</si>
  <si>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</si>
  <si>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</si>
  <si>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</si>
  <si>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</si>
  <si>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</si>
  <si>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</si>
  <si>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</si>
  <si>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</si>
  <si>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</si>
  <si>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</si>
  <si>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</si>
  <si>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</si>
  <si>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</si>
  <si>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</si>
  <si>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</si>
  <si>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</si>
  <si>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</si>
  <si>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</si>
  <si>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</si>
  <si>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</si>
  <si>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</si>
  <si>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</si>
  <si>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</si>
  <si>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</si>
  <si>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</si>
  <si>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</si>
  <si>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</si>
  <si>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</si>
  <si>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</si>
  <si>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</si>
  <si>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</si>
  <si>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</si>
  <si>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</si>
  <si>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</si>
  <si>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</si>
  <si>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</si>
  <si>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</si>
  <si>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</si>
  <si>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</si>
  <si>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</si>
  <si>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</si>
  <si>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</si>
  <si>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</si>
  <si>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</si>
  <si>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</si>
  <si>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</si>
  <si>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</si>
  <si>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</si>
  <si>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</si>
  <si>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</si>
  <si>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</si>
  <si>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</si>
  <si>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</si>
  <si>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</si>
  <si>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</si>
  <si>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</si>
  <si>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</si>
  <si>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</si>
  <si>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</si>
  <si>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</si>
  <si>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</si>
  <si>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</si>
  <si>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</si>
  <si>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</si>
  <si>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</si>
  <si>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</si>
  <si>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</si>
  <si>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</si>
  <si>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</si>
  <si>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</si>
  <si>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</si>
  <si>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</si>
  <si>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</si>
  <si>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</si>
  <si>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</si>
  <si>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</si>
  <si>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</si>
  <si>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</si>
  <si>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</si>
  <si>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</si>
  <si>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</si>
  <si>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</si>
  <si>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</si>
  <si>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</si>
  <si>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</si>
  <si>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</si>
  <si>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</si>
  <si>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</si>
  <si>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</si>
  <si>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</si>
  <si>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</si>
  <si>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</si>
  <si>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</si>
  <si>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</si>
  <si>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</si>
  <si>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</si>
  <si>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</si>
  <si>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</si>
  <si>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</si>
  <si>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</si>
  <si>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</si>
  <si>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</si>
  <si>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</si>
  <si>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</si>
  <si>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</si>
  <si>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</si>
  <si>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</si>
  <si>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</si>
  <si>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</si>
  <si>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</si>
  <si>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</si>
  <si>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</si>
  <si>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</si>
  <si>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</si>
  <si>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</si>
  <si>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</si>
  <si>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</si>
  <si>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</si>
  <si>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</si>
  <si>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</si>
  <si>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</si>
  <si>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</si>
  <si>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</si>
  <si>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</si>
  <si>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</si>
  <si>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</si>
  <si>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</si>
  <si>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</si>
  <si>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</si>
  <si>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</si>
  <si>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</si>
  <si>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</si>
  <si>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</si>
  <si>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</si>
  <si>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</si>
  <si>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</si>
  <si>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</si>
  <si>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</si>
  <si>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</si>
  <si>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</si>
  <si>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</si>
  <si>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</si>
  <si>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</si>
  <si>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</si>
  <si>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</si>
  <si>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</si>
  <si>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</si>
  <si>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</si>
  <si>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</si>
  <si>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</si>
  <si>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</si>
  <si>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</si>
  <si>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</si>
  <si>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</si>
  <si>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</si>
  <si>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</si>
  <si>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</si>
  <si>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</si>
  <si>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</si>
  <si>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</si>
  <si>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</si>
  <si>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</si>
  <si>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</si>
  <si>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</si>
  <si>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</si>
  <si>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</si>
  <si>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</si>
  <si>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</si>
  <si>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</si>
  <si>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</si>
  <si>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</si>
  <si>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</si>
  <si>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</si>
  <si>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</si>
  <si>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</si>
  <si>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</si>
  <si>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</si>
  <si>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</si>
  <si>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</si>
  <si>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</si>
  <si>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</si>
  <si>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</si>
  <si>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</si>
  <si>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</si>
  <si>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</si>
  <si>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</si>
  <si>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</si>
  <si>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</si>
  <si>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</si>
  <si>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</si>
  <si>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</si>
  <si>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</si>
  <si>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</si>
  <si>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</si>
  <si>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</si>
  <si>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</si>
  <si>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</si>
  <si>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</si>
  <si>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</si>
  <si>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</si>
  <si>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</si>
  <si>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</si>
  <si>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</si>
  <si>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</si>
  <si>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</si>
  <si>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</si>
  <si>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</si>
  <si>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</si>
  <si>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</si>
  <si>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</si>
  <si>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</si>
  <si>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</si>
  <si>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</si>
  <si>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</si>
  <si>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</si>
  <si>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</si>
  <si>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</si>
  <si>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</si>
  <si>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</si>
  <si>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</si>
  <si>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</si>
  <si>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</si>
  <si>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</si>
  <si>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</si>
  <si>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</si>
  <si>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</si>
  <si>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</si>
  <si>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</si>
  <si>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</si>
  <si>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</si>
  <si>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</si>
  <si>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</si>
  <si>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</si>
  <si>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</si>
  <si>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</si>
  <si>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</si>
  <si>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</si>
  <si>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</si>
  <si>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</si>
  <si>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</si>
  <si>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</si>
  <si>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</si>
  <si>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</si>
  <si>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</si>
  <si>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</si>
  <si>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</si>
  <si>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</si>
  <si>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</si>
  <si>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</si>
  <si>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</si>
  <si>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</si>
  <si>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</si>
  <si>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</si>
  <si>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</si>
  <si>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</si>
  <si>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</si>
  <si>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</si>
  <si>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</si>
  <si>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</si>
  <si>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</si>
  <si>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</si>
  <si>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</si>
  <si>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</si>
  <si>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</si>
  <si>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</si>
  <si>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</si>
  <si>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</si>
  <si>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</si>
  <si>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</si>
  <si>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</si>
  <si>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</si>
  <si>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</si>
  <si>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</si>
  <si>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</si>
  <si>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</si>
  <si>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</si>
  <si>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</si>
  <si>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</si>
  <si>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</si>
  <si>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</si>
  <si>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</si>
  <si>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</si>
  <si>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</si>
  <si>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</si>
  <si>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</si>
  <si>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</si>
  <si>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</si>
  <si>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</si>
  <si>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</si>
  <si>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</si>
  <si>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</si>
  <si>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</si>
  <si>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</si>
  <si>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</si>
  <si>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</si>
  <si>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</si>
  <si>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</si>
  <si>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</si>
  <si>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</si>
  <si>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</si>
  <si>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</si>
  <si>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</si>
  <si>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</si>
  <si>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</si>
  <si>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</si>
  <si>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</si>
  <si>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</si>
  <si>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</si>
  <si>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</si>
  <si>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</si>
  <si>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</si>
  <si>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</si>
  <si>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</si>
  <si>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</si>
  <si>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</si>
  <si>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</si>
  <si>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</si>
  <si>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</si>
  <si>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</si>
  <si>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</si>
  <si>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</si>
  <si>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</si>
  <si>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</si>
  <si>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</si>
  <si>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</si>
  <si>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</si>
  <si>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</si>
  <si>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</si>
  <si>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</si>
  <si>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</si>
  <si>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</si>
  <si>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</si>
  <si>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</si>
  <si>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</si>
  <si>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</si>
  <si>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</si>
  <si>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</si>
  <si>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</si>
  <si>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</si>
  <si>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</si>
  <si>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</si>
  <si>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</si>
  <si>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</si>
  <si>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</si>
  <si>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</si>
  <si>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</si>
  <si>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</si>
  <si>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</si>
  <si>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</si>
  <si>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</si>
  <si>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</si>
  <si>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</si>
  <si>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</si>
  <si>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</si>
  <si>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</si>
  <si>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</si>
  <si>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</si>
  <si>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</si>
  <si>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</si>
  <si>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</si>
  <si>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</si>
  <si>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</si>
  <si>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</si>
  <si>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</si>
  <si>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</si>
  <si>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</si>
  <si>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</si>
  <si>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</si>
  <si>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</si>
  <si>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</si>
  <si>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</si>
  <si>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</si>
  <si>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</si>
  <si>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</si>
  <si>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</si>
  <si>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</si>
  <si>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</si>
  <si>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</si>
  <si>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</si>
  <si>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</si>
  <si>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</si>
  <si>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</si>
  <si>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</si>
  <si>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</si>
  <si>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</si>
  <si>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</si>
  <si>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</si>
  <si>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</si>
  <si>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</si>
  <si>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</si>
  <si>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</si>
  <si>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</si>
  <si>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</si>
  <si>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</si>
  <si>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</si>
  <si>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</si>
  <si>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</si>
  <si>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</si>
  <si>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</si>
  <si>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</si>
  <si>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</si>
  <si>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</si>
  <si>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</si>
  <si>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</si>
  <si>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</si>
  <si>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</si>
  <si>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</si>
  <si>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</si>
  <si>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</si>
  <si>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</si>
  <si>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</si>
  <si>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</si>
  <si>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</si>
  <si>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</si>
  <si>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</si>
  <si>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</si>
  <si>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</si>
  <si>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</si>
  <si>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</si>
  <si>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</si>
  <si>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</si>
  <si>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</si>
  <si>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</si>
  <si>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</si>
  <si>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</si>
  <si>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</si>
  <si>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</si>
  <si>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</si>
  <si>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</si>
  <si>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</si>
  <si>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</si>
  <si>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</si>
  <si>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</si>
  <si>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</si>
  <si>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</si>
  <si>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</si>
  <si>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</si>
  <si>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</si>
  <si>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</si>
  <si>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</si>
  <si>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</si>
  <si>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</si>
  <si>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</si>
  <si>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</si>
  <si>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</si>
  <si>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</si>
  <si>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</si>
  <si>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</si>
  <si>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</si>
  <si>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</si>
  <si>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</si>
  <si>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</si>
  <si>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</si>
  <si>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</si>
  <si>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</si>
  <si>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</si>
  <si>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</si>
  <si>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</si>
  <si>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</si>
  <si>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</si>
  <si>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</si>
  <si>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</si>
  <si>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</si>
  <si>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</si>
  <si>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</si>
  <si>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</si>
  <si>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</si>
  <si>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</si>
  <si>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</si>
  <si>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</si>
  <si>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</si>
  <si>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</si>
  <si>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</si>
  <si>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</si>
  <si>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</si>
  <si>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</si>
  <si>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</si>
  <si>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</si>
  <si>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</si>
  <si>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</si>
  <si>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</si>
  <si>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</si>
  <si>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</si>
  <si>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</si>
  <si>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</si>
  <si>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</si>
  <si>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</si>
  <si>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</si>
  <si>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Sum of NA_Sales</t>
  </si>
  <si>
    <t xml:space="preserve"> </t>
  </si>
  <si>
    <t>Sum of Global_Sales</t>
  </si>
  <si>
    <t>Sum of EU_Sales</t>
  </si>
  <si>
    <t>Sum of JP_Sales</t>
  </si>
  <si>
    <t>Sum of Other_Sales</t>
  </si>
  <si>
    <t>Global sales</t>
  </si>
  <si>
    <t>JP sales</t>
  </si>
  <si>
    <t>Other sales</t>
  </si>
  <si>
    <t>NA sales</t>
  </si>
  <si>
    <t>EU sales</t>
  </si>
  <si>
    <t>SALES %</t>
  </si>
  <si>
    <t>Row Labels</t>
  </si>
  <si>
    <t>Grand Total</t>
  </si>
  <si>
    <t>Brain Age 2</t>
  </si>
  <si>
    <t>Pokemon Black/ White</t>
  </si>
  <si>
    <t>Pokemon Diamond/Pearl</t>
  </si>
  <si>
    <t>Pokemon Gold/Silver</t>
  </si>
  <si>
    <t>Pokemon Red/ Blue</t>
  </si>
  <si>
    <t>Pokemon Ruby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</si>
</sst>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409]* #,##0.00_ ;_-[$$-409]* \-#,##0.0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5"/>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9">
    <xf numFmtId="0" fontId="0" fillId="0" borderId="0" xfId="0"/>
    <xf numFmtId="0" fontId="16" fillId="0" borderId="0" xfId="0" applyFont="1"/>
    <xf numFmtId="10"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0" fontId="0" fillId="35" borderId="0" xfId="0" applyFill="1"/>
    <xf numFmtId="164" fontId="0" fillId="34" borderId="0" xfId="43" applyNumberFormat="1" applyFont="1" applyFill="1"/>
    <xf numFmtId="164" fontId="0" fillId="33" borderId="0" xfId="43" applyNumberFormat="1"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
    <dxf>
      <font>
        <b/>
        <i val="0"/>
        <sz val="10"/>
        <color theme="0"/>
        <name val="Arial"/>
        <family val="2"/>
        <scheme val="none"/>
      </font>
      <fill>
        <patternFill>
          <bgColor theme="8" tint="-0.499984740745262"/>
        </patternFill>
      </fill>
    </dxf>
    <dxf>
      <fill>
        <patternFill>
          <bgColor theme="8" tint="-0.499984740745262"/>
        </patternFill>
      </fill>
    </dxf>
    <dxf>
      <fill>
        <patternFill>
          <bgColor theme="4" tint="-0.24994659260841701"/>
        </patternFill>
      </fill>
    </dxf>
    <dxf>
      <font>
        <b val="0"/>
        <i val="0"/>
        <sz val="11"/>
        <name val="Arial Black"/>
        <family val="2"/>
        <scheme val="none"/>
      </font>
      <fill>
        <patternFill>
          <bgColor theme="4" tint="-0.24994659260841701"/>
        </patternFill>
      </fill>
    </dxf>
    <dxf>
      <fill>
        <patternFill>
          <bgColor theme="2"/>
        </patternFill>
      </fill>
    </dxf>
    <dxf>
      <fill>
        <gradientFill degree="90">
          <stop position="0">
            <color theme="0"/>
          </stop>
          <stop position="1">
            <color theme="4"/>
          </stop>
        </gradientFill>
      </fill>
    </dxf>
    <dxf>
      <font>
        <sz val="12"/>
        <color theme="1"/>
        <name val="Arial Black"/>
        <family val="2"/>
        <scheme val="none"/>
      </font>
    </dxf>
    <dxf>
      <font>
        <b val="0"/>
        <i val="0"/>
        <sz val="12"/>
        <name val="Arial Black"/>
        <family val="2"/>
        <scheme val="none"/>
      </font>
      <fill>
        <patternFill>
          <bgColor theme="4" tint="-0.24994659260841701"/>
        </patternFill>
      </fill>
    </dxf>
  </dxfs>
  <tableStyles count="8" defaultTableStyle="TableStyleMedium2" defaultPivotStyle="PivotStyleLight16">
    <tableStyle name="SLICER" pivot="0" table="0" count="1" xr9:uid="{8E6C32B5-12EB-4CF3-A88E-C6BBA504368B}">
      <tableStyleElement type="wholeTable" dxfId="7"/>
    </tableStyle>
    <tableStyle name="Slicer Style 1" pivot="0" table="0" count="1" xr9:uid="{BF0F3DB3-708F-4F25-B539-9AC2EEAD96B5}">
      <tableStyleElement type="headerRow" dxfId="6"/>
    </tableStyle>
    <tableStyle name="Slicer Style 2" pivot="0" table="0" count="1" xr9:uid="{457F15D5-3E2F-4A86-956E-F34DE100F271}">
      <tableStyleElement type="wholeTable" dxfId="5"/>
    </tableStyle>
    <tableStyle name="Slicer Style 3" pivot="0" table="0" count="0" xr9:uid="{5BC5298C-592C-4CE1-9D60-C1E2EC68AF50}"/>
    <tableStyle name="Slicer Style 4" pivot="0" table="0" count="1" xr9:uid="{3BCA7028-C0A8-4C4B-8AE8-4BB4741F021C}">
      <tableStyleElement type="wholeTable" dxfId="4"/>
    </tableStyle>
    <tableStyle name="Slicer Style 5" pivot="0" table="0" count="1" xr9:uid="{5228E1FF-7AB5-4763-A3FF-24BF27E6D712}">
      <tableStyleElement type="headerRow" dxfId="3"/>
    </tableStyle>
    <tableStyle name="Slicer Style 6" pivot="0" table="0" count="1" xr9:uid="{96CBA7C6-AA35-469D-A660-9BDA1C75BE16}">
      <tableStyleElement type="wholeTable" dxfId="2"/>
    </tableStyle>
    <tableStyle name="Slicer Style 7" pivot="0" table="0" count="10" xr9:uid="{1BB85B24-F1F1-41DF-B757-B6EA7AE12CC1}">
      <tableStyleElement type="wholeTable" dxfId="1"/>
      <tableStyleElement type="headerRow" dxfId="0"/>
    </tableStyle>
  </tableStyles>
  <extLst>
    <ext xmlns:x14="http://schemas.microsoft.com/office/spreadsheetml/2009/9/main" uri="{46F421CA-312F-682f-3DD2-61675219B42D}">
      <x14:dxfs count="8">
        <dxf>
          <fill>
            <patternFill>
              <bgColor theme="7" tint="0.59996337778862885"/>
            </patternFill>
          </fill>
        </dxf>
        <dxf>
          <fill>
            <patternFill>
              <bgColor theme="3" tint="0.79998168889431442"/>
            </patternFill>
          </fill>
        </dxf>
        <dxf>
          <fill>
            <patternFill>
              <bgColor theme="7"/>
            </patternFill>
          </fill>
        </dxf>
        <dxf>
          <fill>
            <patternFill>
              <bgColor theme="6" tint="0.79998168889431442"/>
            </patternFill>
          </fill>
        </dxf>
        <dxf>
          <fill>
            <patternFill>
              <bgColor theme="7" tint="0.59996337778862885"/>
            </patternFill>
          </fill>
        </dxf>
        <dxf>
          <fill>
            <patternFill>
              <bgColor theme="7"/>
            </patternFill>
          </fill>
        </dxf>
        <dxf>
          <fill>
            <patternFill>
              <bgColor theme="3" tint="0.79998168889431442"/>
            </patternFill>
          </fill>
        </dxf>
        <dxf>
          <fill>
            <patternFill>
              <bgColor theme="6" tint="0.79998168889431442"/>
            </patternFill>
          </fill>
        </dxf>
      </x14:dxfs>
    </ext>
    <ext xmlns:x14="http://schemas.microsoft.com/office/spreadsheetml/2009/9/main" uri="{EB79DEF2-80B8-43e5-95BD-54CBDDF9020C}">
      <x14:slicerStyles defaultSlicerStyle="SlicerStyleLight1">
        <x14:slicerStyle name="SLICER"/>
        <x14:slicerStyle name="Slicer Style 1"/>
        <x14:slicerStyle name="Slicer Style 2"/>
        <x14:slicerStyle name="Slicer Style 3"/>
        <x14:slicerStyle name="Slicer Style 4"/>
        <x14:slicerStyle name="Slicer Style 5"/>
        <x14:slicerStyle name="Slicer Style 6"/>
        <x14:slicerStyle name="Slicer Style 7">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[Videogamesdata1.xlsx]CHARTS!PivotTable1</c:name>
    <c:fmtId val="21"/>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c:f>
              <c:strCache>
                <c:ptCount val="1"/>
                <c:pt idx="0">
                  <c:v>Total</c:v>
                </c:pt>
              </c:strCache>
            </c:strRef>
          </c:tx>
          <c:spPr>
            <a:solidFill>
              <a:schemeClr val="accent4"/>
            </a:solidFill>
            <a:ln>
              <a:noFill/>
            </a:ln>
            <a:effectLst/>
          </c:spPr>
          <c:invertIfNegative val="0"/>
          <c:cat>
            <c:strRef>
              <c:f>CHARTS!$A$4:$A$14</c:f>
              <c:strCache>
                <c:ptCount val="10"/>
                <c:pt idx="0">
                  <c:v>THQ</c:v>
                </c:pt>
                <c:pt idx="1">
                  <c:v>Disney Interactive Studios</c:v>
                </c:pt>
                <c:pt idx="2">
                  <c:v>Acclaim Entertainment</c:v>
                </c:pt>
                <c:pt idx="3">
                  <c:v>Vivendi Games</c:v>
                </c:pt>
                <c:pt idx="4">
                  <c:v>Codemasters</c:v>
                </c:pt>
                <c:pt idx="5">
                  <c:v>Take-Two Interactive</c:v>
                </c:pt>
                <c:pt idx="6">
                  <c:v>Microsoft Game Studios</c:v>
                </c:pt>
                <c:pt idx="7">
                  <c:v>Electronic Arts</c:v>
                </c:pt>
                <c:pt idx="8">
                  <c:v>Sony Computer Entertainment</c:v>
                </c:pt>
                <c:pt idx="9">
                  <c:v>Nintendo</c:v>
                </c:pt>
              </c:strCache>
            </c:strRef>
          </c:cat>
          <c:val>
            <c:numRef>
              <c:f>CHARTS!$B$4:$B$14</c:f>
              <c:numCache>
                <c:formatCode>General</c:formatCode>
                <c:ptCount val="10"/>
                <c:pt idx="0">
                  <c:v>2.1800000000000002</c:v>
                </c:pt>
                <c:pt idx="1">
                  <c:v>2.48</c:v>
                </c:pt>
                <c:pt idx="2">
                  <c:v>2.52</c:v>
                </c:pt>
                <c:pt idx="3">
                  <c:v>4.7</c:v>
                </c:pt>
                <c:pt idx="4">
                  <c:v>5.15</c:v>
                </c:pt>
                <c:pt idx="5">
                  <c:v>11.09</c:v>
                </c:pt>
                <c:pt idx="6">
                  <c:v>18.509999999999998</c:v>
                </c:pt>
                <c:pt idx="7">
                  <c:v>54.519999999999996</c:v>
                </c:pt>
                <c:pt idx="8">
                  <c:v>82.47999999999999</c:v>
                </c:pt>
                <c:pt idx="9">
                  <c:v>132.95999999999998</c:v>
                </c:pt>
              </c:numCache>
            </c:numRef>
          </c:val>
          <c:extLst>
            <c:ext xmlns:c16="http://schemas.microsoft.com/office/drawing/2014/chart" uri="{C3380CC4-5D6E-409C-BE32-E72D297353CC}">
              <c16:uniqueId val="{00000000-17AA-4DE6-859C-BCBBAD8E6861}"/>
            </c:ext>
          </c:extLst>
        </c:ser>
        <c:dLbls>
          <c:showLegendKey val="0"/>
          <c:showVal val="0"/>
          <c:showCatName val="0"/>
          <c:showSerName val="0"/>
          <c:showPercent val="0"/>
          <c:showBubbleSize val="0"/>
        </c:dLbls>
        <c:gapWidth val="182"/>
        <c:axId val="112467232"/>
        <c:axId val="112466272"/>
      </c:barChart>
      <c:catAx>
        <c:axId val="11246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66272"/>
        <c:crosses val="autoZero"/>
        <c:auto val="1"/>
        <c:lblAlgn val="ctr"/>
        <c:lblOffset val="100"/>
        <c:noMultiLvlLbl val="0"/>
      </c:catAx>
      <c:valAx>
        <c:axId val="112466272"/>
        <c:scaling>
          <c:orientation val="minMax"/>
        </c:scaling>
        <c:delete val="1"/>
        <c:axPos val="b"/>
        <c:numFmt formatCode="General" sourceLinked="1"/>
        <c:majorTickMark val="none"/>
        <c:minorTickMark val="none"/>
        <c:tickLblPos val="nextTo"/>
        <c:crossAx val="11246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[Videogamesdata1.xlsx]CHARTS!PivotTable13</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CHARTS!$B$22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C21-4344-A946-9E4F1161C9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C21-4344-A946-9E4F1161C95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C21-4344-A946-9E4F1161C9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C21-4344-A946-9E4F1161C95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C21-4344-A946-9E4F1161C95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C21-4344-A946-9E4F1161C95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C21-4344-A946-9E4F1161C95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C21-4344-A946-9E4F1161C95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C21-4344-A946-9E4F1161C95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C21-4344-A946-9E4F1161C957}"/>
              </c:ext>
            </c:extLst>
          </c:dPt>
          <c:cat>
            <c:strRef>
              <c:f>CHARTS!$A$23:$A$33</c:f>
              <c:strCache>
                <c:ptCount val="10"/>
                <c:pt idx="0">
                  <c:v>Gran Turismo</c:v>
                </c:pt>
                <c:pt idx="1">
                  <c:v>Gran Turismo 2</c:v>
                </c:pt>
                <c:pt idx="2">
                  <c:v>Gran Turismo 3: A-Spec</c:v>
                </c:pt>
                <c:pt idx="3">
                  <c:v>Gran Turismo 4</c:v>
                </c:pt>
                <c:pt idx="4">
                  <c:v>Gran Turismo 5</c:v>
                </c:pt>
                <c:pt idx="5">
                  <c:v>Mario Kart 64</c:v>
                </c:pt>
                <c:pt idx="6">
                  <c:v>Mario Kart 7</c:v>
                </c:pt>
                <c:pt idx="7">
                  <c:v>Mario Kart DS</c:v>
                </c:pt>
                <c:pt idx="8">
                  <c:v>Mario Kart Wii</c:v>
                </c:pt>
                <c:pt idx="9">
                  <c:v>Need for Speed Underground 2</c:v>
                </c:pt>
              </c:strCache>
            </c:strRef>
          </c:cat>
          <c:val>
            <c:numRef>
              <c:f>CHARTS!$B$23:$B$33</c:f>
              <c:numCache>
                <c:formatCode>General</c:formatCode>
                <c:ptCount val="10"/>
                <c:pt idx="0">
                  <c:v>10.95</c:v>
                </c:pt>
                <c:pt idx="1">
                  <c:v>9.49</c:v>
                </c:pt>
                <c:pt idx="2">
                  <c:v>14.98</c:v>
                </c:pt>
                <c:pt idx="3">
                  <c:v>11.66</c:v>
                </c:pt>
                <c:pt idx="4">
                  <c:v>10.77</c:v>
                </c:pt>
                <c:pt idx="5">
                  <c:v>9.8699999999999992</c:v>
                </c:pt>
                <c:pt idx="6">
                  <c:v>12.21</c:v>
                </c:pt>
                <c:pt idx="7">
                  <c:v>23.42</c:v>
                </c:pt>
                <c:pt idx="8">
                  <c:v>35.82</c:v>
                </c:pt>
                <c:pt idx="9">
                  <c:v>9.18</c:v>
                </c:pt>
              </c:numCache>
            </c:numRef>
          </c:val>
          <c:extLst>
            <c:ext xmlns:c16="http://schemas.microsoft.com/office/drawing/2014/chart" uri="{C3380CC4-5D6E-409C-BE32-E72D297353CC}">
              <c16:uniqueId val="{00000000-376B-489F-9B39-7B9C8992E1E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[Videogamesdata1.xlsx]CHARTS!PivotTable2</c:name>
    <c:fmtId val="4"/>
  </c:pivotSource>
  <c:chart>
    <c:autoTitleDeleted val="1"/>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CHARTS!$B$39</c:f>
              <c:strCache>
                <c:ptCount val="1"/>
                <c:pt idx="0">
                  <c:v>Total</c:v>
                </c:pt>
              </c:strCache>
            </c:strRef>
          </c:tx>
          <c:spPr>
            <a:ln w="28575" cap="rnd">
              <a:solidFill>
                <a:schemeClr val="accent4"/>
              </a:solidFill>
              <a:round/>
            </a:ln>
            <a:effectLst/>
          </c:spPr>
          <c:marker>
            <c:symbol val="none"/>
          </c:marker>
          <c:cat>
            <c:strRef>
              <c:f>CHARTS!$A$40:$A$60</c:f>
              <c:strCache>
                <c:ptCount val="20"/>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strCache>
            </c:strRef>
          </c:cat>
          <c:val>
            <c:numRef>
              <c:f>CHARTS!$B$40:$B$60</c:f>
              <c:numCache>
                <c:formatCode>General</c:formatCode>
                <c:ptCount val="20"/>
                <c:pt idx="0">
                  <c:v>15.25</c:v>
                </c:pt>
                <c:pt idx="1">
                  <c:v>18.11</c:v>
                </c:pt>
                <c:pt idx="2">
                  <c:v>5.99</c:v>
                </c:pt>
                <c:pt idx="3">
                  <c:v>19.71</c:v>
                </c:pt>
                <c:pt idx="4">
                  <c:v>2.63</c:v>
                </c:pt>
                <c:pt idx="5">
                  <c:v>31.11</c:v>
                </c:pt>
                <c:pt idx="6">
                  <c:v>4.29</c:v>
                </c:pt>
                <c:pt idx="7">
                  <c:v>18.850000000000001</c:v>
                </c:pt>
                <c:pt idx="8">
                  <c:v>23.52</c:v>
                </c:pt>
                <c:pt idx="9">
                  <c:v>33.550000000000004</c:v>
                </c:pt>
                <c:pt idx="10">
                  <c:v>6.32</c:v>
                </c:pt>
                <c:pt idx="11">
                  <c:v>10.67</c:v>
                </c:pt>
                <c:pt idx="12">
                  <c:v>43.1</c:v>
                </c:pt>
                <c:pt idx="13">
                  <c:v>11.46</c:v>
                </c:pt>
                <c:pt idx="14">
                  <c:v>15.8</c:v>
                </c:pt>
                <c:pt idx="15">
                  <c:v>16.850000000000001</c:v>
                </c:pt>
                <c:pt idx="16">
                  <c:v>2.89</c:v>
                </c:pt>
                <c:pt idx="17">
                  <c:v>5.82</c:v>
                </c:pt>
                <c:pt idx="18">
                  <c:v>6.96</c:v>
                </c:pt>
                <c:pt idx="19">
                  <c:v>2.39</c:v>
                </c:pt>
              </c:numCache>
            </c:numRef>
          </c:val>
          <c:smooth val="0"/>
          <c:extLst>
            <c:ext xmlns:c16="http://schemas.microsoft.com/office/drawing/2014/chart" uri="{C3380CC4-5D6E-409C-BE32-E72D297353CC}">
              <c16:uniqueId val="{00000000-A900-41D2-ADE4-3EA98A6589C0}"/>
            </c:ext>
          </c:extLst>
        </c:ser>
        <c:dLbls>
          <c:showLegendKey val="0"/>
          <c:showVal val="0"/>
          <c:showCatName val="0"/>
          <c:showSerName val="0"/>
          <c:showPercent val="0"/>
          <c:showBubbleSize val="0"/>
        </c:dLbls>
        <c:smooth val="0"/>
        <c:axId val="629284336"/>
        <c:axId val="629258896"/>
      </c:lineChart>
      <c:catAx>
        <c:axId val="62928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258896"/>
        <c:crosses val="autoZero"/>
        <c:auto val="1"/>
        <c:lblAlgn val="ctr"/>
        <c:lblOffset val="100"/>
        <c:noMultiLvlLbl val="0"/>
      </c:catAx>
      <c:valAx>
        <c:axId val="629258896"/>
        <c:scaling>
          <c:orientation val="minMax"/>
        </c:scaling>
        <c:delete val="1"/>
        <c:axPos val="l"/>
        <c:numFmt formatCode="General" sourceLinked="1"/>
        <c:majorTickMark val="none"/>
        <c:minorTickMark val="none"/>
        <c:tickLblPos val="nextTo"/>
        <c:crossAx val="629284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[Videogamesdata1.xlsx]CHARTS!PivotTable6</c:name>
    <c:fmtId val="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hade val="42000"/>
            </a:schemeClr>
          </a:solidFill>
          <a:ln w="19050">
            <a:solidFill>
              <a:schemeClr val="lt1"/>
            </a:solidFill>
          </a:ln>
          <a:effectLst/>
        </c:spPr>
      </c:pivotFmt>
      <c:pivotFmt>
        <c:idx val="12"/>
        <c:spPr>
          <a:solidFill>
            <a:schemeClr val="accent4">
              <a:shade val="55000"/>
            </a:schemeClr>
          </a:solidFill>
          <a:ln w="19050">
            <a:solidFill>
              <a:schemeClr val="lt1"/>
            </a:solidFill>
          </a:ln>
          <a:effectLst/>
        </c:spPr>
      </c:pivotFmt>
      <c:pivotFmt>
        <c:idx val="13"/>
        <c:spPr>
          <a:solidFill>
            <a:schemeClr val="accent4">
              <a:shade val="68000"/>
            </a:schemeClr>
          </a:solidFill>
          <a:ln w="19050">
            <a:solidFill>
              <a:schemeClr val="lt1"/>
            </a:solidFill>
          </a:ln>
          <a:effectLst/>
        </c:spPr>
      </c:pivotFmt>
      <c:pivotFmt>
        <c:idx val="14"/>
        <c:spPr>
          <a:solidFill>
            <a:schemeClr val="accent4">
              <a:tint val="81000"/>
            </a:schemeClr>
          </a:solidFill>
          <a:ln w="19050">
            <a:solidFill>
              <a:schemeClr val="lt1"/>
            </a:solidFill>
          </a:ln>
          <a:effectLst/>
        </c:spPr>
      </c:pivotFmt>
      <c:pivotFmt>
        <c:idx val="15"/>
        <c:spPr>
          <a:solidFill>
            <a:schemeClr val="accent4">
              <a:shade val="93000"/>
            </a:schemeClr>
          </a:solidFill>
          <a:ln w="19050">
            <a:solidFill>
              <a:schemeClr val="lt1"/>
            </a:solidFill>
          </a:ln>
          <a:effectLst/>
        </c:spPr>
      </c:pivotFmt>
      <c:pivotFmt>
        <c:idx val="16"/>
        <c:spPr>
          <a:solidFill>
            <a:schemeClr val="accent4">
              <a:tint val="94000"/>
            </a:schemeClr>
          </a:solidFill>
          <a:ln w="19050">
            <a:solidFill>
              <a:schemeClr val="lt1"/>
            </a:solidFill>
          </a:ln>
          <a:effectLst/>
        </c:spPr>
      </c:pivotFmt>
      <c:pivotFmt>
        <c:idx val="17"/>
        <c:spPr>
          <a:solidFill>
            <a:schemeClr val="accent4">
              <a:tint val="43000"/>
            </a:schemeClr>
          </a:solidFill>
          <a:ln w="19050">
            <a:solidFill>
              <a:schemeClr val="lt1"/>
            </a:solidFill>
          </a:ln>
          <a:effectLst/>
        </c:spPr>
      </c:pivotFmt>
      <c:pivotFmt>
        <c:idx val="18"/>
        <c:spPr>
          <a:solidFill>
            <a:schemeClr val="accent4">
              <a:tint val="69000"/>
            </a:schemeClr>
          </a:solidFill>
          <a:ln w="19050">
            <a:solidFill>
              <a:schemeClr val="lt1"/>
            </a:solidFill>
          </a:ln>
          <a:effectLst/>
        </c:spPr>
      </c:pivotFmt>
      <c:pivotFmt>
        <c:idx val="19"/>
        <c:spPr>
          <a:solidFill>
            <a:schemeClr val="accent4">
              <a:tint val="56000"/>
            </a:schemeClr>
          </a:solidFill>
          <a:ln w="19050">
            <a:solidFill>
              <a:schemeClr val="lt1"/>
            </a:solidFill>
          </a:ln>
          <a:effectLst/>
        </c:spPr>
      </c:pivotFmt>
      <c:pivotFmt>
        <c:idx val="20"/>
        <c:spPr>
          <a:solidFill>
            <a:schemeClr val="accent4">
              <a:tint val="43000"/>
            </a:schemeClr>
          </a:solidFill>
          <a:ln w="19050">
            <a:solidFill>
              <a:schemeClr val="lt1"/>
            </a:solidFill>
          </a:ln>
          <a:effectLst/>
        </c:spPr>
      </c:pivotFmt>
      <c:pivotFmt>
        <c:idx val="21"/>
        <c:spPr>
          <a:solidFill>
            <a:schemeClr val="accent4">
              <a:shade val="42000"/>
            </a:schemeClr>
          </a:solidFill>
          <a:ln w="19050">
            <a:solidFill>
              <a:schemeClr val="lt1"/>
            </a:solidFill>
          </a:ln>
          <a:effectLst/>
        </c:spPr>
      </c:pivotFmt>
      <c:pivotFmt>
        <c:idx val="22"/>
        <c:spPr>
          <a:solidFill>
            <a:schemeClr val="accent4">
              <a:shade val="55000"/>
            </a:schemeClr>
          </a:solidFill>
          <a:ln w="19050">
            <a:solidFill>
              <a:schemeClr val="lt1"/>
            </a:solidFill>
          </a:ln>
          <a:effectLst/>
        </c:spPr>
      </c:pivotFmt>
      <c:pivotFmt>
        <c:idx val="23"/>
        <c:spPr>
          <a:solidFill>
            <a:schemeClr val="accent4">
              <a:tint val="94000"/>
            </a:schemeClr>
          </a:solidFill>
          <a:ln w="19050">
            <a:solidFill>
              <a:schemeClr val="lt1"/>
            </a:solidFill>
          </a:ln>
          <a:effectLst/>
        </c:spPr>
      </c:pivotFmt>
      <c:pivotFmt>
        <c:idx val="24"/>
        <c:spPr>
          <a:solidFill>
            <a:schemeClr val="accent4">
              <a:shade val="93000"/>
            </a:schemeClr>
          </a:solidFill>
          <a:ln w="19050">
            <a:solidFill>
              <a:schemeClr val="lt1"/>
            </a:solidFill>
          </a:ln>
          <a:effectLst/>
        </c:spPr>
      </c:pivotFmt>
      <c:pivotFmt>
        <c:idx val="25"/>
        <c:spPr>
          <a:solidFill>
            <a:schemeClr val="accent4">
              <a:tint val="94000"/>
            </a:schemeClr>
          </a:solidFill>
          <a:ln w="19050">
            <a:solidFill>
              <a:schemeClr val="lt1"/>
            </a:solidFill>
          </a:ln>
          <a:effectLst/>
        </c:spPr>
      </c:pivotFmt>
      <c:pivotFmt>
        <c:idx val="26"/>
        <c:spPr>
          <a:solidFill>
            <a:schemeClr val="accent4">
              <a:tint val="43000"/>
            </a:schemeClr>
          </a:solidFill>
          <a:ln w="19050">
            <a:solidFill>
              <a:schemeClr val="lt1"/>
            </a:solidFill>
          </a:ln>
          <a:effectLst/>
        </c:spPr>
      </c:pivotFmt>
      <c:pivotFmt>
        <c:idx val="27"/>
        <c:spPr>
          <a:solidFill>
            <a:schemeClr val="accent4">
              <a:tint val="69000"/>
            </a:schemeClr>
          </a:solidFill>
          <a:ln w="19050">
            <a:solidFill>
              <a:schemeClr val="lt1"/>
            </a:solidFill>
          </a:ln>
          <a:effectLst/>
        </c:spPr>
      </c:pivotFmt>
      <c:pivotFmt>
        <c:idx val="28"/>
        <c:spPr>
          <a:solidFill>
            <a:schemeClr val="accent4">
              <a:tint val="56000"/>
            </a:schemeClr>
          </a:solidFill>
          <a:ln w="19050">
            <a:solidFill>
              <a:schemeClr val="lt1"/>
            </a:solidFill>
          </a:ln>
          <a:effectLst/>
        </c:spPr>
      </c:pivotFmt>
      <c:pivotFmt>
        <c:idx val="29"/>
        <c:spPr>
          <a:solidFill>
            <a:schemeClr val="accent4">
              <a:tint val="43000"/>
            </a:schemeClr>
          </a:solidFill>
          <a:ln w="19050">
            <a:solidFill>
              <a:schemeClr val="lt1"/>
            </a:solidFill>
          </a:ln>
          <a:effectLst/>
        </c:spPr>
      </c:pivotFmt>
      <c:pivotFmt>
        <c:idx val="30"/>
        <c:spPr>
          <a:solidFill>
            <a:schemeClr val="accent4">
              <a:shade val="42000"/>
            </a:schemeClr>
          </a:solidFill>
          <a:ln w="19050">
            <a:solidFill>
              <a:schemeClr val="lt1"/>
            </a:solidFill>
          </a:ln>
          <a:effectLst/>
        </c:spPr>
      </c:pivotFmt>
      <c:pivotFmt>
        <c:idx val="31"/>
        <c:spPr>
          <a:solidFill>
            <a:schemeClr val="accent4">
              <a:shade val="55000"/>
            </a:schemeClr>
          </a:solidFill>
          <a:ln w="19050">
            <a:solidFill>
              <a:schemeClr val="lt1"/>
            </a:solidFill>
          </a:ln>
          <a:effectLst/>
        </c:spPr>
      </c:pivotFmt>
      <c:pivotFmt>
        <c:idx val="32"/>
        <c:spPr>
          <a:solidFill>
            <a:schemeClr val="accent4">
              <a:shade val="68000"/>
            </a:schemeClr>
          </a:solidFill>
          <a:ln w="19050">
            <a:solidFill>
              <a:schemeClr val="lt1"/>
            </a:solidFill>
          </a:ln>
          <a:effectLst/>
        </c:spPr>
      </c:pivotFmt>
      <c:pivotFmt>
        <c:idx val="33"/>
        <c:spPr>
          <a:solidFill>
            <a:schemeClr val="accent4">
              <a:tint val="43000"/>
            </a:schemeClr>
          </a:solidFill>
          <a:ln w="19050">
            <a:solidFill>
              <a:schemeClr val="lt1"/>
            </a:solidFill>
          </a:ln>
          <a:effectLst/>
        </c:spPr>
      </c:pivotFmt>
      <c:pivotFmt>
        <c:idx val="34"/>
        <c:spPr>
          <a:solidFill>
            <a:schemeClr val="accent4">
              <a:shade val="93000"/>
            </a:schemeClr>
          </a:solidFill>
          <a:ln w="19050">
            <a:solidFill>
              <a:schemeClr val="lt1"/>
            </a:solidFill>
          </a:ln>
          <a:effectLst/>
        </c:spPr>
      </c:pivotFmt>
      <c:pivotFmt>
        <c:idx val="35"/>
        <c:spPr>
          <a:solidFill>
            <a:schemeClr val="accent4">
              <a:tint val="43000"/>
            </a:schemeClr>
          </a:solidFill>
          <a:ln w="19050">
            <a:solidFill>
              <a:schemeClr val="lt1"/>
            </a:solidFill>
          </a:ln>
          <a:effectLst/>
        </c:spPr>
      </c:pivotFmt>
      <c:pivotFmt>
        <c:idx val="36"/>
        <c:spPr>
          <a:solidFill>
            <a:schemeClr val="accent4">
              <a:tint val="69000"/>
            </a:schemeClr>
          </a:solidFill>
          <a:ln w="19050">
            <a:solidFill>
              <a:schemeClr val="lt1"/>
            </a:solidFill>
          </a:ln>
          <a:effectLst/>
        </c:spPr>
      </c:pivotFmt>
      <c:pivotFmt>
        <c:idx val="37"/>
        <c:spPr>
          <a:solidFill>
            <a:schemeClr val="accent4">
              <a:tint val="56000"/>
            </a:schemeClr>
          </a:solidFill>
          <a:ln w="19050">
            <a:solidFill>
              <a:schemeClr val="lt1"/>
            </a:solidFill>
          </a:ln>
          <a:effectLst/>
        </c:spPr>
      </c:pivotFmt>
      <c:pivotFmt>
        <c:idx val="38"/>
        <c:spPr>
          <a:solidFill>
            <a:schemeClr val="accent4">
              <a:shade val="42000"/>
            </a:schemeClr>
          </a:solidFill>
          <a:ln w="19050">
            <a:solidFill>
              <a:schemeClr val="lt1"/>
            </a:solidFill>
          </a:ln>
          <a:effectLst/>
        </c:spPr>
      </c:pivotFmt>
      <c:pivotFmt>
        <c:idx val="39"/>
        <c:spPr>
          <a:solidFill>
            <a:schemeClr val="accent4">
              <a:shade val="55000"/>
            </a:schemeClr>
          </a:solidFill>
          <a:ln w="19050">
            <a:solidFill>
              <a:schemeClr val="lt1"/>
            </a:solidFill>
          </a:ln>
          <a:effectLst/>
        </c:spPr>
      </c:pivotFmt>
      <c:pivotFmt>
        <c:idx val="40"/>
        <c:spPr>
          <a:solidFill>
            <a:schemeClr val="accent4">
              <a:shade val="68000"/>
            </a:schemeClr>
          </a:solidFill>
          <a:ln w="19050">
            <a:solidFill>
              <a:schemeClr val="lt1"/>
            </a:solidFill>
          </a:ln>
          <a:effectLst/>
        </c:spPr>
      </c:pivotFmt>
      <c:pivotFmt>
        <c:idx val="41"/>
        <c:spPr>
          <a:solidFill>
            <a:schemeClr val="accent4">
              <a:tint val="43000"/>
            </a:schemeClr>
          </a:solidFill>
          <a:ln w="19050">
            <a:solidFill>
              <a:schemeClr val="lt1"/>
            </a:solidFill>
          </a:ln>
          <a:effectLst/>
        </c:spPr>
      </c:pivotFmt>
      <c:pivotFmt>
        <c:idx val="42"/>
        <c:spPr>
          <a:solidFill>
            <a:schemeClr val="accent4">
              <a:shade val="93000"/>
            </a:schemeClr>
          </a:solidFill>
          <a:ln w="19050">
            <a:solidFill>
              <a:schemeClr val="lt1"/>
            </a:solidFill>
          </a:ln>
          <a:effectLst/>
        </c:spPr>
      </c:pivotFmt>
      <c:pivotFmt>
        <c:idx val="43"/>
        <c:spPr>
          <a:solidFill>
            <a:schemeClr val="accent4">
              <a:tint val="94000"/>
            </a:schemeClr>
          </a:solidFill>
          <a:ln w="19050">
            <a:solidFill>
              <a:schemeClr val="lt1"/>
            </a:solidFill>
          </a:ln>
          <a:effectLst/>
        </c:spPr>
      </c:pivotFmt>
      <c:pivotFmt>
        <c:idx val="44"/>
        <c:spPr>
          <a:solidFill>
            <a:schemeClr val="accent4">
              <a:tint val="43000"/>
            </a:schemeClr>
          </a:solidFill>
          <a:ln w="19050">
            <a:solidFill>
              <a:schemeClr val="lt1"/>
            </a:solidFill>
          </a:ln>
          <a:effectLst/>
        </c:spPr>
      </c:pivotFmt>
      <c:pivotFmt>
        <c:idx val="45"/>
        <c:spPr>
          <a:solidFill>
            <a:schemeClr val="accent4">
              <a:tint val="69000"/>
            </a:schemeClr>
          </a:solidFill>
          <a:ln w="19050">
            <a:solidFill>
              <a:schemeClr val="lt1"/>
            </a:solidFill>
          </a:ln>
          <a:effectLst/>
        </c:spPr>
      </c:pivotFmt>
      <c:pivotFmt>
        <c:idx val="46"/>
        <c:spPr>
          <a:solidFill>
            <a:schemeClr val="accent4">
              <a:tint val="56000"/>
            </a:schemeClr>
          </a:solidFill>
          <a:ln w="19050">
            <a:solidFill>
              <a:schemeClr val="lt1"/>
            </a:solidFill>
          </a:ln>
          <a:effectLst/>
        </c:spPr>
      </c:pivotFmt>
      <c:pivotFmt>
        <c:idx val="47"/>
        <c:spPr>
          <a:solidFill>
            <a:schemeClr val="accent4">
              <a:tint val="43000"/>
            </a:schemeClr>
          </a:solidFill>
          <a:ln w="19050">
            <a:solidFill>
              <a:schemeClr val="lt1"/>
            </a:solidFill>
          </a:ln>
          <a:effectLst/>
        </c:spPr>
      </c:pivotFmt>
      <c:pivotFmt>
        <c:idx val="48"/>
        <c:spPr>
          <a:solidFill>
            <a:schemeClr val="accent4">
              <a:tint val="30000"/>
            </a:schemeClr>
          </a:solidFill>
          <a:ln w="19050">
            <a:solidFill>
              <a:schemeClr val="lt1"/>
            </a:solidFill>
          </a:ln>
          <a:effectLst/>
        </c:spPr>
      </c:pivotFmt>
      <c:pivotFmt>
        <c:idx val="49"/>
        <c:spPr>
          <a:solidFill>
            <a:schemeClr val="accent4">
              <a:shade val="42000"/>
            </a:schemeClr>
          </a:solidFill>
          <a:ln w="19050">
            <a:solidFill>
              <a:schemeClr val="lt1"/>
            </a:solidFill>
          </a:ln>
          <a:effectLst/>
        </c:spPr>
      </c:pivotFmt>
      <c:pivotFmt>
        <c:idx val="50"/>
        <c:spPr>
          <a:solidFill>
            <a:schemeClr val="accent4">
              <a:shade val="55000"/>
            </a:schemeClr>
          </a:solidFill>
          <a:ln w="19050">
            <a:solidFill>
              <a:schemeClr val="lt1"/>
            </a:solidFill>
          </a:ln>
          <a:effectLst/>
        </c:spPr>
      </c:pivotFmt>
      <c:pivotFmt>
        <c:idx val="51"/>
        <c:spPr>
          <a:solidFill>
            <a:schemeClr val="accent4">
              <a:shade val="68000"/>
            </a:schemeClr>
          </a:solidFill>
          <a:ln w="19050">
            <a:solidFill>
              <a:schemeClr val="lt1"/>
            </a:solidFill>
          </a:ln>
          <a:effectLst/>
        </c:spPr>
      </c:pivotFmt>
      <c:pivotFmt>
        <c:idx val="52"/>
        <c:spPr>
          <a:solidFill>
            <a:schemeClr val="accent4">
              <a:tint val="43000"/>
            </a:schemeClr>
          </a:solidFill>
          <a:ln w="19050">
            <a:solidFill>
              <a:schemeClr val="lt1"/>
            </a:solidFill>
          </a:ln>
          <a:effectLst/>
        </c:spPr>
      </c:pivotFmt>
      <c:pivotFmt>
        <c:idx val="53"/>
        <c:spPr>
          <a:solidFill>
            <a:schemeClr val="accent4">
              <a:shade val="93000"/>
            </a:schemeClr>
          </a:solidFill>
          <a:ln w="19050">
            <a:solidFill>
              <a:schemeClr val="lt1"/>
            </a:solidFill>
          </a:ln>
          <a:effectLst/>
        </c:spPr>
      </c:pivotFmt>
      <c:pivotFmt>
        <c:idx val="54"/>
        <c:spPr>
          <a:solidFill>
            <a:schemeClr val="accent4">
              <a:tint val="94000"/>
            </a:schemeClr>
          </a:solidFill>
          <a:ln w="19050">
            <a:solidFill>
              <a:schemeClr val="lt1"/>
            </a:solidFill>
          </a:ln>
          <a:effectLst/>
        </c:spPr>
      </c:pivotFmt>
      <c:pivotFmt>
        <c:idx val="55"/>
        <c:spPr>
          <a:solidFill>
            <a:schemeClr val="accent4">
              <a:tint val="43000"/>
            </a:schemeClr>
          </a:solidFill>
          <a:ln w="19050">
            <a:solidFill>
              <a:schemeClr val="lt1"/>
            </a:solidFill>
          </a:ln>
          <a:effectLst/>
        </c:spPr>
      </c:pivotFmt>
      <c:pivotFmt>
        <c:idx val="56"/>
        <c:spPr>
          <a:solidFill>
            <a:schemeClr val="accent4">
              <a:tint val="69000"/>
            </a:schemeClr>
          </a:solidFill>
          <a:ln w="19050">
            <a:solidFill>
              <a:schemeClr val="lt1"/>
            </a:solidFill>
          </a:ln>
          <a:effectLst/>
        </c:spPr>
      </c:pivotFmt>
      <c:pivotFmt>
        <c:idx val="57"/>
        <c:spPr>
          <a:solidFill>
            <a:schemeClr val="accent4">
              <a:tint val="56000"/>
            </a:schemeClr>
          </a:solidFill>
          <a:ln w="19050">
            <a:solidFill>
              <a:schemeClr val="lt1"/>
            </a:solidFill>
          </a:ln>
          <a:effectLst/>
        </c:spPr>
      </c:pivotFmt>
      <c:pivotFmt>
        <c:idx val="58"/>
        <c:spPr>
          <a:solidFill>
            <a:schemeClr val="accent4">
              <a:tint val="43000"/>
            </a:schemeClr>
          </a:solidFill>
          <a:ln w="19050">
            <a:solidFill>
              <a:schemeClr val="lt1"/>
            </a:solidFill>
          </a:ln>
          <a:effectLst/>
        </c:spPr>
      </c:pivotFmt>
      <c:pivotFmt>
        <c:idx val="59"/>
        <c:spPr>
          <a:solidFill>
            <a:schemeClr val="accent4">
              <a:shade val="42000"/>
            </a:schemeClr>
          </a:solidFill>
          <a:ln w="19050">
            <a:solidFill>
              <a:schemeClr val="lt1"/>
            </a:solidFill>
          </a:ln>
          <a:effectLst/>
        </c:spPr>
      </c:pivotFmt>
      <c:pivotFmt>
        <c:idx val="60"/>
        <c:spPr>
          <a:solidFill>
            <a:schemeClr val="accent4">
              <a:shade val="55000"/>
            </a:schemeClr>
          </a:solidFill>
          <a:ln w="19050">
            <a:solidFill>
              <a:schemeClr val="lt1"/>
            </a:solidFill>
          </a:ln>
          <a:effectLst/>
        </c:spPr>
      </c:pivotFmt>
      <c:pivotFmt>
        <c:idx val="61"/>
        <c:spPr>
          <a:solidFill>
            <a:schemeClr val="accent4">
              <a:shade val="68000"/>
            </a:schemeClr>
          </a:solidFill>
          <a:ln w="19050">
            <a:solidFill>
              <a:schemeClr val="lt1"/>
            </a:solidFill>
          </a:ln>
          <a:effectLst/>
        </c:spPr>
      </c:pivotFmt>
      <c:pivotFmt>
        <c:idx val="62"/>
        <c:spPr>
          <a:solidFill>
            <a:schemeClr val="accent4">
              <a:tint val="81000"/>
            </a:schemeClr>
          </a:solidFill>
          <a:ln w="19050">
            <a:solidFill>
              <a:schemeClr val="lt1"/>
            </a:solidFill>
          </a:ln>
          <a:effectLst/>
        </c:spPr>
      </c:pivotFmt>
      <c:pivotFmt>
        <c:idx val="63"/>
        <c:spPr>
          <a:solidFill>
            <a:schemeClr val="accent4">
              <a:shade val="93000"/>
            </a:schemeClr>
          </a:solidFill>
          <a:ln w="19050">
            <a:solidFill>
              <a:schemeClr val="lt1"/>
            </a:solidFill>
          </a:ln>
          <a:effectLst/>
        </c:spPr>
      </c:pivotFmt>
      <c:pivotFmt>
        <c:idx val="64"/>
        <c:spPr>
          <a:solidFill>
            <a:schemeClr val="accent4">
              <a:tint val="43000"/>
            </a:schemeClr>
          </a:solidFill>
          <a:ln w="19050">
            <a:solidFill>
              <a:schemeClr val="lt1"/>
            </a:solidFill>
          </a:ln>
          <a:effectLst/>
        </c:spPr>
      </c:pivotFmt>
      <c:pivotFmt>
        <c:idx val="65"/>
        <c:spPr>
          <a:solidFill>
            <a:schemeClr val="accent4">
              <a:tint val="69000"/>
            </a:schemeClr>
          </a:solidFill>
          <a:ln w="19050">
            <a:solidFill>
              <a:schemeClr val="lt1"/>
            </a:solidFill>
          </a:ln>
          <a:effectLst/>
        </c:spPr>
      </c:pivotFmt>
      <c:pivotFmt>
        <c:idx val="66"/>
        <c:spPr>
          <a:solidFill>
            <a:schemeClr val="accent4">
              <a:tint val="56000"/>
            </a:schemeClr>
          </a:solidFill>
          <a:ln w="19050">
            <a:solidFill>
              <a:schemeClr val="lt1"/>
            </a:solidFill>
          </a:ln>
          <a:effectLst/>
        </c:spPr>
      </c:pivotFmt>
      <c:pivotFmt>
        <c:idx val="67"/>
        <c:spPr>
          <a:solidFill>
            <a:schemeClr val="accent4">
              <a:tint val="43000"/>
            </a:schemeClr>
          </a:solidFill>
          <a:ln w="19050">
            <a:solidFill>
              <a:schemeClr val="lt1"/>
            </a:solidFill>
          </a:ln>
          <a:effectLst/>
        </c:spPr>
      </c:pivotFmt>
      <c:pivotFmt>
        <c:idx val="68"/>
        <c:spPr>
          <a:solidFill>
            <a:schemeClr val="accent4">
              <a:tint val="30000"/>
            </a:schemeClr>
          </a:solidFill>
          <a:ln w="19050">
            <a:solidFill>
              <a:schemeClr val="lt1"/>
            </a:solidFill>
          </a:ln>
          <a:effectLst/>
        </c:spPr>
      </c:pivotFmt>
    </c:pivotFmts>
    <c:plotArea>
      <c:layout/>
      <c:doughnutChart>
        <c:varyColors val="1"/>
        <c:ser>
          <c:idx val="0"/>
          <c:order val="0"/>
          <c:tx>
            <c:strRef>
              <c:f>CHARTS!$B$81</c:f>
              <c:strCache>
                <c:ptCount val="1"/>
                <c:pt idx="0">
                  <c:v>Total</c:v>
                </c:pt>
              </c:strCache>
            </c:strRef>
          </c:tx>
          <c:dPt>
            <c:idx val="0"/>
            <c:bubble3D val="0"/>
            <c:spPr>
              <a:solidFill>
                <a:schemeClr val="accent4">
                  <a:shade val="42000"/>
                </a:schemeClr>
              </a:solidFill>
              <a:ln w="19050">
                <a:solidFill>
                  <a:schemeClr val="lt1"/>
                </a:solidFill>
              </a:ln>
              <a:effectLst/>
            </c:spPr>
            <c:extLst>
              <c:ext xmlns:c16="http://schemas.microsoft.com/office/drawing/2014/chart" uri="{C3380CC4-5D6E-409C-BE32-E72D297353CC}">
                <c16:uniqueId val="{00000001-6007-4985-9139-C8BEE660E2D8}"/>
              </c:ext>
            </c:extLst>
          </c:dPt>
          <c:dPt>
            <c:idx val="1"/>
            <c:bubble3D val="0"/>
            <c:spPr>
              <a:solidFill>
                <a:schemeClr val="accent4">
                  <a:shade val="55000"/>
                </a:schemeClr>
              </a:solidFill>
              <a:ln w="19050">
                <a:solidFill>
                  <a:schemeClr val="lt1"/>
                </a:solidFill>
              </a:ln>
              <a:effectLst/>
            </c:spPr>
            <c:extLst>
              <c:ext xmlns:c16="http://schemas.microsoft.com/office/drawing/2014/chart" uri="{C3380CC4-5D6E-409C-BE32-E72D297353CC}">
                <c16:uniqueId val="{00000003-6007-4985-9139-C8BEE660E2D8}"/>
              </c:ext>
            </c:extLst>
          </c:dPt>
          <c:dPt>
            <c:idx val="2"/>
            <c:bubble3D val="0"/>
            <c:spPr>
              <a:solidFill>
                <a:schemeClr val="accent4">
                  <a:shade val="68000"/>
                </a:schemeClr>
              </a:solidFill>
              <a:ln w="19050">
                <a:solidFill>
                  <a:schemeClr val="lt1"/>
                </a:solidFill>
              </a:ln>
              <a:effectLst/>
            </c:spPr>
            <c:extLst>
              <c:ext xmlns:c16="http://schemas.microsoft.com/office/drawing/2014/chart" uri="{C3380CC4-5D6E-409C-BE32-E72D297353CC}">
                <c16:uniqueId val="{00000005-6007-4985-9139-C8BEE660E2D8}"/>
              </c:ext>
            </c:extLst>
          </c:dPt>
          <c:dPt>
            <c:idx val="3"/>
            <c:bubble3D val="0"/>
            <c:spPr>
              <a:solidFill>
                <a:schemeClr val="accent4">
                  <a:shade val="80000"/>
                </a:schemeClr>
              </a:solidFill>
              <a:ln w="19050">
                <a:solidFill>
                  <a:schemeClr val="lt1"/>
                </a:solidFill>
              </a:ln>
              <a:effectLst/>
            </c:spPr>
            <c:extLst>
              <c:ext xmlns:c16="http://schemas.microsoft.com/office/drawing/2014/chart" uri="{C3380CC4-5D6E-409C-BE32-E72D297353CC}">
                <c16:uniqueId val="{00000007-6007-4985-9139-C8BEE660E2D8}"/>
              </c:ext>
            </c:extLst>
          </c:dPt>
          <c:dPt>
            <c:idx val="4"/>
            <c:bubble3D val="0"/>
            <c:spPr>
              <a:solidFill>
                <a:schemeClr val="accent4">
                  <a:shade val="93000"/>
                </a:schemeClr>
              </a:solidFill>
              <a:ln w="19050">
                <a:solidFill>
                  <a:schemeClr val="lt1"/>
                </a:solidFill>
              </a:ln>
              <a:effectLst/>
            </c:spPr>
            <c:extLst>
              <c:ext xmlns:c16="http://schemas.microsoft.com/office/drawing/2014/chart" uri="{C3380CC4-5D6E-409C-BE32-E72D297353CC}">
                <c16:uniqueId val="{00000009-6007-4985-9139-C8BEE660E2D8}"/>
              </c:ext>
            </c:extLst>
          </c:dPt>
          <c:dPt>
            <c:idx val="5"/>
            <c:bubble3D val="0"/>
            <c:spPr>
              <a:solidFill>
                <a:schemeClr val="accent4">
                  <a:tint val="94000"/>
                </a:schemeClr>
              </a:solidFill>
              <a:ln w="19050">
                <a:solidFill>
                  <a:schemeClr val="lt1"/>
                </a:solidFill>
              </a:ln>
              <a:effectLst/>
            </c:spPr>
            <c:extLst>
              <c:ext xmlns:c16="http://schemas.microsoft.com/office/drawing/2014/chart" uri="{C3380CC4-5D6E-409C-BE32-E72D297353CC}">
                <c16:uniqueId val="{0000000B-6007-4985-9139-C8BEE660E2D8}"/>
              </c:ext>
            </c:extLst>
          </c:dPt>
          <c:dPt>
            <c:idx val="6"/>
            <c:bubble3D val="0"/>
            <c:spPr>
              <a:solidFill>
                <a:schemeClr val="accent4">
                  <a:shade val="93000"/>
                </a:schemeClr>
              </a:solidFill>
              <a:ln w="19050">
                <a:solidFill>
                  <a:schemeClr val="lt1"/>
                </a:solidFill>
              </a:ln>
              <a:effectLst/>
            </c:spPr>
            <c:extLst>
              <c:ext xmlns:c16="http://schemas.microsoft.com/office/drawing/2014/chart" uri="{C3380CC4-5D6E-409C-BE32-E72D297353CC}">
                <c16:uniqueId val="{0000000D-6007-4985-9139-C8BEE660E2D8}"/>
              </c:ext>
            </c:extLst>
          </c:dPt>
          <c:dPt>
            <c:idx val="7"/>
            <c:bubble3D val="0"/>
            <c:spPr>
              <a:solidFill>
                <a:schemeClr val="accent4">
                  <a:tint val="69000"/>
                </a:schemeClr>
              </a:solidFill>
              <a:ln w="19050">
                <a:solidFill>
                  <a:schemeClr val="lt1"/>
                </a:solidFill>
              </a:ln>
              <a:effectLst/>
            </c:spPr>
            <c:extLst>
              <c:ext xmlns:c16="http://schemas.microsoft.com/office/drawing/2014/chart" uri="{C3380CC4-5D6E-409C-BE32-E72D297353CC}">
                <c16:uniqueId val="{0000000F-6007-4985-9139-C8BEE660E2D8}"/>
              </c:ext>
            </c:extLst>
          </c:dPt>
          <c:dPt>
            <c:idx val="8"/>
            <c:bubble3D val="0"/>
            <c:spPr>
              <a:solidFill>
                <a:schemeClr val="accent4">
                  <a:tint val="56000"/>
                </a:schemeClr>
              </a:solidFill>
              <a:ln w="19050">
                <a:solidFill>
                  <a:schemeClr val="lt1"/>
                </a:solidFill>
              </a:ln>
              <a:effectLst/>
            </c:spPr>
            <c:extLst>
              <c:ext xmlns:c16="http://schemas.microsoft.com/office/drawing/2014/chart" uri="{C3380CC4-5D6E-409C-BE32-E72D297353CC}">
                <c16:uniqueId val="{00000011-6007-4985-9139-C8BEE660E2D8}"/>
              </c:ext>
            </c:extLst>
          </c:dPt>
          <c:dPt>
            <c:idx val="9"/>
            <c:bubble3D val="0"/>
            <c:spPr>
              <a:solidFill>
                <a:schemeClr val="accent4">
                  <a:tint val="43000"/>
                </a:schemeClr>
              </a:solidFill>
              <a:ln w="19050">
                <a:solidFill>
                  <a:schemeClr val="lt1"/>
                </a:solidFill>
              </a:ln>
              <a:effectLst/>
            </c:spPr>
            <c:extLst>
              <c:ext xmlns:c16="http://schemas.microsoft.com/office/drawing/2014/chart" uri="{C3380CC4-5D6E-409C-BE32-E72D297353CC}">
                <c16:uniqueId val="{00000013-6007-4985-9139-C8BEE660E2D8}"/>
              </c:ext>
            </c:extLst>
          </c:dPt>
          <c:dPt>
            <c:idx val="10"/>
            <c:bubble3D val="0"/>
            <c:spPr>
              <a:solidFill>
                <a:schemeClr val="accent4">
                  <a:tint val="30000"/>
                </a:schemeClr>
              </a:solidFill>
              <a:ln w="19050">
                <a:solidFill>
                  <a:schemeClr val="lt1"/>
                </a:solidFill>
              </a:ln>
              <a:effectLst/>
            </c:spPr>
            <c:extLst>
              <c:ext xmlns:c16="http://schemas.microsoft.com/office/drawing/2014/chart" uri="{C3380CC4-5D6E-409C-BE32-E72D297353CC}">
                <c16:uniqueId val="{00000015-3C0E-433C-9FF2-0B7A522FD6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CHARTS!$A$82:$A$92</c:f>
              <c:strCache>
                <c:ptCount val="10"/>
                <c:pt idx="0">
                  <c:v>Gran Turismo</c:v>
                </c:pt>
                <c:pt idx="1">
                  <c:v>Gran Turismo 2</c:v>
                </c:pt>
                <c:pt idx="2">
                  <c:v>Gran Turismo 3: A-Spec</c:v>
                </c:pt>
                <c:pt idx="3">
                  <c:v>Mario Kart 64</c:v>
                </c:pt>
                <c:pt idx="4">
                  <c:v>Mario Kart 7</c:v>
                </c:pt>
                <c:pt idx="5">
                  <c:v>Mario Kart DS</c:v>
                </c:pt>
                <c:pt idx="6">
                  <c:v>Mario Kart Wii</c:v>
                </c:pt>
                <c:pt idx="7">
                  <c:v>Mario Kart: Double Dash!!</c:v>
                </c:pt>
                <c:pt idx="8">
                  <c:v>Need for Speed Underground 2</c:v>
                </c:pt>
                <c:pt idx="9">
                  <c:v>Super Mario Kart</c:v>
                </c:pt>
              </c:strCache>
            </c:strRef>
          </c:cat>
          <c:val>
            <c:numRef>
              <c:f>CHARTS!$B$82:$B$92</c:f>
              <c:numCache>
                <c:formatCode>General</c:formatCode>
                <c:ptCount val="10"/>
                <c:pt idx="0">
                  <c:v>4.0199999999999996</c:v>
                </c:pt>
                <c:pt idx="1">
                  <c:v>3.88</c:v>
                </c:pt>
                <c:pt idx="2">
                  <c:v>6.85</c:v>
                </c:pt>
                <c:pt idx="3">
                  <c:v>5.55</c:v>
                </c:pt>
                <c:pt idx="4">
                  <c:v>4.74</c:v>
                </c:pt>
                <c:pt idx="5">
                  <c:v>9.81</c:v>
                </c:pt>
                <c:pt idx="6">
                  <c:v>15.85</c:v>
                </c:pt>
                <c:pt idx="7">
                  <c:v>4.12</c:v>
                </c:pt>
                <c:pt idx="8">
                  <c:v>4.09</c:v>
                </c:pt>
                <c:pt idx="9">
                  <c:v>3.54</c:v>
                </c:pt>
              </c:numCache>
            </c:numRef>
          </c:val>
          <c:extLst>
            <c:ext xmlns:c16="http://schemas.microsoft.com/office/drawing/2014/chart" uri="{C3380CC4-5D6E-409C-BE32-E72D297353CC}">
              <c16:uniqueId val="{00000000-02E7-4AD7-AD66-4713FF5FB46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[Videogamesdata1.xlsx]CHARTS!PivotTable7</c:name>
    <c:fmtId val="0"/>
  </c:pivotSource>
  <c:chart>
    <c:autoTitleDeleted val="1"/>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CHARTS!$B$97</c:f>
              <c:strCache>
                <c:ptCount val="1"/>
                <c:pt idx="0">
                  <c:v>Total</c:v>
                </c:pt>
              </c:strCache>
            </c:strRef>
          </c:tx>
          <c:spPr>
            <a:solidFill>
              <a:schemeClr val="accent4"/>
            </a:solidFill>
            <a:ln>
              <a:noFill/>
            </a:ln>
            <a:effectLst/>
            <a:sp3d/>
          </c:spPr>
          <c:invertIfNegative val="0"/>
          <c:cat>
            <c:strRef>
              <c:f>CHARTS!$A$98:$A$108</c:f>
              <c:strCache>
                <c:ptCount val="10"/>
                <c:pt idx="0">
                  <c:v>Gran Turismo</c:v>
                </c:pt>
                <c:pt idx="1">
                  <c:v>Gran Turismo 2</c:v>
                </c:pt>
                <c:pt idx="2">
                  <c:v>Gran Turismo 3: A-Spec</c:v>
                </c:pt>
                <c:pt idx="3">
                  <c:v>Gran Turismo 5</c:v>
                </c:pt>
                <c:pt idx="4">
                  <c:v>Mario Kart 7</c:v>
                </c:pt>
                <c:pt idx="5">
                  <c:v>Mario Kart DS</c:v>
                </c:pt>
                <c:pt idx="6">
                  <c:v>Mario Kart Wii</c:v>
                </c:pt>
                <c:pt idx="7">
                  <c:v>Need for Speed Underground</c:v>
                </c:pt>
                <c:pt idx="8">
                  <c:v>Need for Speed Underground 2</c:v>
                </c:pt>
                <c:pt idx="9">
                  <c:v>Need for Speed: Most Wanted</c:v>
                </c:pt>
              </c:strCache>
            </c:strRef>
          </c:cat>
          <c:val>
            <c:numRef>
              <c:f>CHARTS!$B$98:$B$108</c:f>
              <c:numCache>
                <c:formatCode>General</c:formatCode>
                <c:ptCount val="10"/>
                <c:pt idx="0">
                  <c:v>3.87</c:v>
                </c:pt>
                <c:pt idx="1">
                  <c:v>3.42</c:v>
                </c:pt>
                <c:pt idx="2">
                  <c:v>5.09</c:v>
                </c:pt>
                <c:pt idx="3">
                  <c:v>4.88</c:v>
                </c:pt>
                <c:pt idx="4">
                  <c:v>3.91</c:v>
                </c:pt>
                <c:pt idx="5">
                  <c:v>7.57</c:v>
                </c:pt>
                <c:pt idx="6">
                  <c:v>12.88</c:v>
                </c:pt>
                <c:pt idx="7">
                  <c:v>2.83</c:v>
                </c:pt>
                <c:pt idx="8">
                  <c:v>3.8200000000000003</c:v>
                </c:pt>
                <c:pt idx="9">
                  <c:v>3.3</c:v>
                </c:pt>
              </c:numCache>
            </c:numRef>
          </c:val>
          <c:extLst>
            <c:ext xmlns:c16="http://schemas.microsoft.com/office/drawing/2014/chart" uri="{C3380CC4-5D6E-409C-BE32-E72D297353CC}">
              <c16:uniqueId val="{00000000-43E3-4963-AC13-4FBDE021A4D9}"/>
            </c:ext>
          </c:extLst>
        </c:ser>
        <c:dLbls>
          <c:showLegendKey val="0"/>
          <c:showVal val="0"/>
          <c:showCatName val="0"/>
          <c:showSerName val="0"/>
          <c:showPercent val="0"/>
          <c:showBubbleSize val="0"/>
        </c:dLbls>
        <c:gapWidth val="150"/>
        <c:shape val="box"/>
        <c:axId val="510967872"/>
        <c:axId val="510978912"/>
        <c:axId val="0"/>
      </c:bar3DChart>
      <c:catAx>
        <c:axId val="510967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78912"/>
        <c:crosses val="autoZero"/>
        <c:auto val="1"/>
        <c:lblAlgn val="ctr"/>
        <c:lblOffset val="100"/>
        <c:noMultiLvlLbl val="0"/>
      </c:catAx>
      <c:valAx>
        <c:axId val="510978912"/>
        <c:scaling>
          <c:orientation val="minMax"/>
        </c:scaling>
        <c:delete val="1"/>
        <c:axPos val="b"/>
        <c:numFmt formatCode="General" sourceLinked="1"/>
        <c:majorTickMark val="none"/>
        <c:minorTickMark val="none"/>
        <c:tickLblPos val="nextTo"/>
        <c:crossAx val="51096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[Videogamesdata1.xlsx]CHARTS!PivotTable11</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CHARTS!$B$115</c:f>
              <c:strCache>
                <c:ptCount val="1"/>
                <c:pt idx="0">
                  <c:v>Total</c:v>
                </c:pt>
              </c:strCache>
            </c:strRef>
          </c:tx>
          <c:spPr>
            <a:solidFill>
              <a:schemeClr val="accent1"/>
            </a:solidFill>
            <a:ln>
              <a:noFill/>
            </a:ln>
            <a:effectLst/>
            <a:sp3d/>
          </c:spPr>
          <c:invertIfNegative val="0"/>
          <c:cat>
            <c:strRef>
              <c:f>CHARTS!$A$116:$A$126</c:f>
              <c:strCache>
                <c:ptCount val="10"/>
                <c:pt idx="0">
                  <c:v>Excitebike</c:v>
                </c:pt>
                <c:pt idx="1">
                  <c:v>Gran Turismo</c:v>
                </c:pt>
                <c:pt idx="2">
                  <c:v>Gran Turismo 2</c:v>
                </c:pt>
                <c:pt idx="3">
                  <c:v>Gran Turismo 3: A-Spec</c:v>
                </c:pt>
                <c:pt idx="4">
                  <c:v>Mario Kart 64</c:v>
                </c:pt>
                <c:pt idx="5">
                  <c:v>Mario Kart 7</c:v>
                </c:pt>
                <c:pt idx="6">
                  <c:v>Mario Kart 8</c:v>
                </c:pt>
                <c:pt idx="7">
                  <c:v>Mario Kart DS</c:v>
                </c:pt>
                <c:pt idx="8">
                  <c:v>Mario Kart Wii</c:v>
                </c:pt>
                <c:pt idx="9">
                  <c:v>Super Mario Kart</c:v>
                </c:pt>
              </c:strCache>
            </c:strRef>
          </c:cat>
          <c:val>
            <c:numRef>
              <c:f>CHARTS!$B$116:$B$126</c:f>
              <c:numCache>
                <c:formatCode>General</c:formatCode>
                <c:ptCount val="10"/>
                <c:pt idx="0">
                  <c:v>1.57</c:v>
                </c:pt>
                <c:pt idx="1">
                  <c:v>2.54</c:v>
                </c:pt>
                <c:pt idx="2">
                  <c:v>1.69</c:v>
                </c:pt>
                <c:pt idx="3">
                  <c:v>1.87</c:v>
                </c:pt>
                <c:pt idx="4">
                  <c:v>2.23</c:v>
                </c:pt>
                <c:pt idx="5">
                  <c:v>2.67</c:v>
                </c:pt>
                <c:pt idx="6">
                  <c:v>1.27</c:v>
                </c:pt>
                <c:pt idx="7">
                  <c:v>4.13</c:v>
                </c:pt>
                <c:pt idx="8">
                  <c:v>3.79</c:v>
                </c:pt>
                <c:pt idx="9">
                  <c:v>3.81</c:v>
                </c:pt>
              </c:numCache>
            </c:numRef>
          </c:val>
          <c:extLst>
            <c:ext xmlns:c16="http://schemas.microsoft.com/office/drawing/2014/chart" uri="{C3380CC4-5D6E-409C-BE32-E72D297353CC}">
              <c16:uniqueId val="{00000000-9102-4BD6-A523-C85F50AF13C6}"/>
            </c:ext>
          </c:extLst>
        </c:ser>
        <c:dLbls>
          <c:showLegendKey val="0"/>
          <c:showVal val="0"/>
          <c:showCatName val="0"/>
          <c:showSerName val="0"/>
          <c:showPercent val="0"/>
          <c:showBubbleSize val="0"/>
        </c:dLbls>
        <c:gapWidth val="150"/>
        <c:shape val="box"/>
        <c:axId val="629232976"/>
        <c:axId val="629232496"/>
        <c:axId val="0"/>
      </c:bar3DChart>
      <c:catAx>
        <c:axId val="629232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232496"/>
        <c:crosses val="autoZero"/>
        <c:auto val="1"/>
        <c:lblAlgn val="ctr"/>
        <c:lblOffset val="100"/>
        <c:noMultiLvlLbl val="0"/>
      </c:catAx>
      <c:valAx>
        <c:axId val="6292324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2923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[Videogamesdata1.xlsx]CHARTS!PivotTable13</c:name>
    <c:fmtId val="21"/>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43000"/>
            </a:schemeClr>
          </a:solidFill>
          <a:ln w="19050">
            <a:solidFill>
              <a:schemeClr val="lt1"/>
            </a:solidFill>
          </a:ln>
          <a:effectLst/>
        </c:spPr>
      </c:pivotFmt>
      <c:pivotFmt>
        <c:idx val="2"/>
        <c:spPr>
          <a:solidFill>
            <a:schemeClr val="accent4">
              <a:tint val="56000"/>
            </a:schemeClr>
          </a:solidFill>
          <a:ln w="19050">
            <a:solidFill>
              <a:schemeClr val="lt1"/>
            </a:solidFill>
          </a:ln>
          <a:effectLst/>
        </c:spPr>
      </c:pivotFmt>
      <c:pivotFmt>
        <c:idx val="3"/>
        <c:spPr>
          <a:solidFill>
            <a:schemeClr val="accent4">
              <a:tint val="56000"/>
            </a:schemeClr>
          </a:solidFill>
          <a:ln w="19050">
            <a:solidFill>
              <a:schemeClr val="lt1"/>
            </a:solidFill>
          </a:ln>
          <a:effectLst/>
        </c:spPr>
      </c:pivotFmt>
      <c:pivotFmt>
        <c:idx val="4"/>
        <c:spPr>
          <a:solidFill>
            <a:schemeClr val="accent4">
              <a:tint val="69000"/>
            </a:schemeClr>
          </a:solidFill>
          <a:ln w="19050">
            <a:solidFill>
              <a:schemeClr val="lt1"/>
            </a:solidFill>
          </a:ln>
          <a:effectLst/>
        </c:spPr>
      </c:pivotFmt>
      <c:pivotFmt>
        <c:idx val="5"/>
        <c:spPr>
          <a:solidFill>
            <a:schemeClr val="accent4">
              <a:tint val="94000"/>
            </a:schemeClr>
          </a:solidFill>
          <a:ln w="19050">
            <a:solidFill>
              <a:schemeClr val="lt1"/>
            </a:solidFill>
          </a:ln>
          <a:effectLst/>
        </c:spPr>
      </c:pivotFmt>
      <c:pivotFmt>
        <c:idx val="6"/>
        <c:spPr>
          <a:solidFill>
            <a:schemeClr val="accent4">
              <a:shade val="93000"/>
            </a:schemeClr>
          </a:solidFill>
          <a:ln w="19050">
            <a:solidFill>
              <a:schemeClr val="lt1"/>
            </a:solidFill>
          </a:ln>
          <a:effectLst/>
        </c:spPr>
      </c:pivotFmt>
      <c:pivotFmt>
        <c:idx val="7"/>
        <c:spPr>
          <a:solidFill>
            <a:schemeClr val="accent4">
              <a:shade val="80000"/>
            </a:schemeClr>
          </a:solidFill>
          <a:ln w="19050">
            <a:solidFill>
              <a:schemeClr val="lt1"/>
            </a:solidFill>
          </a:ln>
          <a:effectLst/>
        </c:spPr>
      </c:pivotFmt>
      <c:pivotFmt>
        <c:idx val="8"/>
        <c:spPr>
          <a:solidFill>
            <a:schemeClr val="accent4">
              <a:shade val="42000"/>
            </a:schemeClr>
          </a:solidFill>
          <a:ln w="19050">
            <a:solidFill>
              <a:schemeClr val="lt1"/>
            </a:solidFill>
          </a:ln>
          <a:effectLst/>
        </c:spPr>
      </c:pivotFmt>
      <c:pivotFmt>
        <c:idx val="9"/>
        <c:spPr>
          <a:solidFill>
            <a:schemeClr val="accent4">
              <a:shade val="55000"/>
            </a:schemeClr>
          </a:solidFill>
          <a:ln w="19050">
            <a:solidFill>
              <a:schemeClr val="lt1"/>
            </a:solidFill>
          </a:ln>
          <a:effectLst/>
        </c:spPr>
      </c:pivotFmt>
      <c:pivotFmt>
        <c:idx val="10"/>
        <c:spPr>
          <a:solidFill>
            <a:schemeClr val="accent4">
              <a:shade val="42000"/>
            </a:schemeClr>
          </a:solidFill>
          <a:ln w="19050">
            <a:solidFill>
              <a:schemeClr val="lt1"/>
            </a:solidFill>
          </a:ln>
          <a:effectLst/>
        </c:spPr>
      </c:pivotFmt>
      <c:pivotFmt>
        <c:idx val="11"/>
        <c:spPr>
          <a:solidFill>
            <a:schemeClr val="accent4">
              <a:tint val="43000"/>
            </a:schemeClr>
          </a:solidFill>
          <a:ln w="19050">
            <a:solidFill>
              <a:schemeClr val="lt1"/>
            </a:solidFill>
          </a:ln>
          <a:effectLst/>
        </c:spPr>
      </c:pivotFmt>
      <c:pivotFmt>
        <c:idx val="12"/>
        <c:spPr>
          <a:solidFill>
            <a:schemeClr val="accent4">
              <a:tint val="56000"/>
            </a:schemeClr>
          </a:solidFill>
          <a:ln w="19050">
            <a:solidFill>
              <a:schemeClr val="lt1"/>
            </a:solidFill>
          </a:ln>
          <a:effectLst/>
        </c:spPr>
      </c:pivotFmt>
      <c:pivotFmt>
        <c:idx val="13"/>
        <c:spPr>
          <a:solidFill>
            <a:schemeClr val="accent4">
              <a:tint val="56000"/>
            </a:schemeClr>
          </a:solidFill>
          <a:ln w="19050">
            <a:solidFill>
              <a:schemeClr val="lt1"/>
            </a:solidFill>
          </a:ln>
          <a:effectLst/>
        </c:spPr>
      </c:pivotFmt>
      <c:pivotFmt>
        <c:idx val="14"/>
        <c:spPr>
          <a:solidFill>
            <a:schemeClr val="accent4">
              <a:tint val="69000"/>
            </a:schemeClr>
          </a:solidFill>
          <a:ln w="19050">
            <a:solidFill>
              <a:schemeClr val="lt1"/>
            </a:solidFill>
          </a:ln>
          <a:effectLst/>
        </c:spPr>
      </c:pivotFmt>
      <c:pivotFmt>
        <c:idx val="15"/>
        <c:spPr>
          <a:solidFill>
            <a:schemeClr val="accent4">
              <a:tint val="94000"/>
            </a:schemeClr>
          </a:solidFill>
          <a:ln w="19050">
            <a:solidFill>
              <a:schemeClr val="lt1"/>
            </a:solidFill>
          </a:ln>
          <a:effectLst/>
        </c:spPr>
      </c:pivotFmt>
      <c:pivotFmt>
        <c:idx val="16"/>
        <c:spPr>
          <a:solidFill>
            <a:schemeClr val="accent4">
              <a:shade val="93000"/>
            </a:schemeClr>
          </a:solidFill>
          <a:ln w="19050">
            <a:solidFill>
              <a:schemeClr val="lt1"/>
            </a:solidFill>
          </a:ln>
          <a:effectLst/>
        </c:spPr>
      </c:pivotFmt>
      <c:pivotFmt>
        <c:idx val="17"/>
        <c:spPr>
          <a:solidFill>
            <a:schemeClr val="accent4">
              <a:shade val="80000"/>
            </a:schemeClr>
          </a:solidFill>
          <a:ln w="19050">
            <a:solidFill>
              <a:schemeClr val="lt1"/>
            </a:solidFill>
          </a:ln>
          <a:effectLst/>
        </c:spPr>
      </c:pivotFmt>
      <c:pivotFmt>
        <c:idx val="18"/>
        <c:spPr>
          <a:solidFill>
            <a:schemeClr val="accent4">
              <a:shade val="42000"/>
            </a:schemeClr>
          </a:solidFill>
          <a:ln w="19050">
            <a:solidFill>
              <a:schemeClr val="lt1"/>
            </a:solidFill>
          </a:ln>
          <a:effectLst/>
        </c:spPr>
      </c:pivotFmt>
      <c:pivotFmt>
        <c:idx val="19"/>
        <c:spPr>
          <a:solidFill>
            <a:schemeClr val="accent4">
              <a:shade val="55000"/>
            </a:schemeClr>
          </a:solidFill>
          <a:ln w="19050">
            <a:solidFill>
              <a:schemeClr val="lt1"/>
            </a:solidFill>
          </a:ln>
          <a:effectLst/>
        </c:spPr>
      </c:pivotFmt>
      <c:pivotFmt>
        <c:idx val="20"/>
        <c:spPr>
          <a:solidFill>
            <a:schemeClr val="accent4">
              <a:shade val="42000"/>
            </a:schemeClr>
          </a:solidFill>
          <a:ln w="19050">
            <a:solidFill>
              <a:schemeClr val="lt1"/>
            </a:solidFill>
          </a:ln>
          <a:effectLst/>
        </c:spPr>
      </c:pivotFmt>
      <c:pivotFmt>
        <c:idx val="21"/>
        <c:spPr>
          <a:solidFill>
            <a:schemeClr val="accent4">
              <a:tint val="43000"/>
            </a:schemeClr>
          </a:solidFill>
          <a:ln w="19050">
            <a:solidFill>
              <a:schemeClr val="lt1"/>
            </a:solidFill>
          </a:ln>
          <a:effectLst/>
        </c:spPr>
      </c:pivotFmt>
      <c:pivotFmt>
        <c:idx val="22"/>
        <c:spPr>
          <a:solidFill>
            <a:schemeClr val="accent4">
              <a:tint val="56000"/>
            </a:schemeClr>
          </a:solidFill>
          <a:ln w="19050">
            <a:solidFill>
              <a:schemeClr val="lt1"/>
            </a:solidFill>
          </a:ln>
          <a:effectLst/>
        </c:spPr>
      </c:pivotFmt>
      <c:pivotFmt>
        <c:idx val="23"/>
        <c:spPr>
          <a:solidFill>
            <a:schemeClr val="accent4">
              <a:tint val="56000"/>
            </a:schemeClr>
          </a:solidFill>
          <a:ln w="19050">
            <a:solidFill>
              <a:schemeClr val="lt1"/>
            </a:solidFill>
          </a:ln>
          <a:effectLst/>
        </c:spPr>
      </c:pivotFmt>
      <c:pivotFmt>
        <c:idx val="24"/>
        <c:spPr>
          <a:solidFill>
            <a:schemeClr val="accent4">
              <a:tint val="69000"/>
            </a:schemeClr>
          </a:solidFill>
          <a:ln w="19050">
            <a:solidFill>
              <a:schemeClr val="lt1"/>
            </a:solidFill>
          </a:ln>
          <a:effectLst/>
        </c:spPr>
      </c:pivotFmt>
      <c:pivotFmt>
        <c:idx val="25"/>
        <c:spPr>
          <a:solidFill>
            <a:schemeClr val="accent4">
              <a:tint val="94000"/>
            </a:schemeClr>
          </a:solidFill>
          <a:ln w="19050">
            <a:solidFill>
              <a:schemeClr val="lt1"/>
            </a:solidFill>
          </a:ln>
          <a:effectLst/>
        </c:spPr>
      </c:pivotFmt>
      <c:pivotFmt>
        <c:idx val="26"/>
        <c:spPr>
          <a:solidFill>
            <a:schemeClr val="accent4">
              <a:shade val="93000"/>
            </a:schemeClr>
          </a:solidFill>
          <a:ln w="19050">
            <a:solidFill>
              <a:schemeClr val="lt1"/>
            </a:solidFill>
          </a:ln>
          <a:effectLst/>
        </c:spPr>
      </c:pivotFmt>
      <c:pivotFmt>
        <c:idx val="27"/>
        <c:spPr>
          <a:solidFill>
            <a:schemeClr val="accent4">
              <a:shade val="80000"/>
            </a:schemeClr>
          </a:solidFill>
          <a:ln w="19050">
            <a:solidFill>
              <a:schemeClr val="lt1"/>
            </a:solidFill>
          </a:ln>
          <a:effectLst/>
        </c:spPr>
      </c:pivotFmt>
      <c:pivotFmt>
        <c:idx val="28"/>
        <c:spPr>
          <a:solidFill>
            <a:schemeClr val="accent4">
              <a:shade val="42000"/>
            </a:schemeClr>
          </a:solidFill>
          <a:ln w="19050">
            <a:solidFill>
              <a:schemeClr val="lt1"/>
            </a:solidFill>
          </a:ln>
          <a:effectLst/>
        </c:spPr>
      </c:pivotFmt>
      <c:pivotFmt>
        <c:idx val="29"/>
        <c:spPr>
          <a:solidFill>
            <a:schemeClr val="accent4">
              <a:shade val="55000"/>
            </a:schemeClr>
          </a:solidFill>
          <a:ln w="19050">
            <a:solidFill>
              <a:schemeClr val="lt1"/>
            </a:solidFill>
          </a:ln>
          <a:effectLst/>
        </c:spPr>
      </c:pivotFmt>
      <c:pivotFmt>
        <c:idx val="30"/>
        <c:spPr>
          <a:solidFill>
            <a:schemeClr val="accent4">
              <a:shade val="42000"/>
            </a:schemeClr>
          </a:solidFill>
          <a:ln w="19050">
            <a:solidFill>
              <a:schemeClr val="lt1"/>
            </a:solidFill>
          </a:ln>
          <a:effectLst/>
        </c:spPr>
      </c:pivotFmt>
      <c:pivotFmt>
        <c:idx val="31"/>
        <c:spPr>
          <a:solidFill>
            <a:schemeClr val="accent4">
              <a:tint val="94000"/>
            </a:schemeClr>
          </a:solidFill>
          <a:ln w="19050">
            <a:solidFill>
              <a:schemeClr val="lt1"/>
            </a:solidFill>
          </a:ln>
          <a:effectLst/>
        </c:spPr>
      </c:pivotFmt>
      <c:pivotFmt>
        <c:idx val="32"/>
        <c:spPr>
          <a:solidFill>
            <a:schemeClr val="accent4">
              <a:tint val="56000"/>
            </a:schemeClr>
          </a:solidFill>
          <a:ln w="19050">
            <a:solidFill>
              <a:schemeClr val="lt1"/>
            </a:solidFill>
          </a:ln>
          <a:effectLst/>
        </c:spPr>
      </c:pivotFmt>
      <c:pivotFmt>
        <c:idx val="33"/>
        <c:spPr>
          <a:solidFill>
            <a:schemeClr val="accent4">
              <a:tint val="94000"/>
            </a:schemeClr>
          </a:solidFill>
          <a:ln w="19050">
            <a:solidFill>
              <a:schemeClr val="lt1"/>
            </a:solidFill>
          </a:ln>
          <a:effectLst/>
        </c:spPr>
      </c:pivotFmt>
      <c:pivotFmt>
        <c:idx val="34"/>
        <c:spPr>
          <a:solidFill>
            <a:schemeClr val="accent4">
              <a:shade val="80000"/>
            </a:schemeClr>
          </a:solidFill>
          <a:ln w="19050">
            <a:solidFill>
              <a:schemeClr val="lt1"/>
            </a:solidFill>
          </a:ln>
          <a:effectLst/>
        </c:spPr>
      </c:pivotFmt>
      <c:pivotFmt>
        <c:idx val="35"/>
        <c:spPr>
          <a:solidFill>
            <a:schemeClr val="accent4">
              <a:shade val="55000"/>
            </a:schemeClr>
          </a:solidFill>
          <a:ln w="19050">
            <a:solidFill>
              <a:schemeClr val="lt1"/>
            </a:solidFill>
          </a:ln>
          <a:effectLst/>
        </c:spPr>
      </c:pivotFmt>
      <c:pivotFmt>
        <c:idx val="36"/>
        <c:spPr>
          <a:solidFill>
            <a:schemeClr val="accent4">
              <a:shade val="42000"/>
            </a:schemeClr>
          </a:solidFill>
          <a:ln w="19050">
            <a:solidFill>
              <a:schemeClr val="lt1"/>
            </a:solidFill>
          </a:ln>
          <a:effectLst/>
        </c:spPr>
      </c:pivotFmt>
      <c:pivotFmt>
        <c:idx val="37"/>
        <c:spPr>
          <a:solidFill>
            <a:schemeClr val="accent4">
              <a:tint val="43000"/>
            </a:schemeClr>
          </a:solidFill>
          <a:ln w="19050">
            <a:solidFill>
              <a:schemeClr val="lt1"/>
            </a:solidFill>
          </a:ln>
          <a:effectLst/>
        </c:spPr>
      </c:pivotFmt>
      <c:pivotFmt>
        <c:idx val="38"/>
        <c:spPr>
          <a:solidFill>
            <a:schemeClr val="accent4">
              <a:tint val="56000"/>
            </a:schemeClr>
          </a:solidFill>
          <a:ln w="19050">
            <a:solidFill>
              <a:schemeClr val="lt1"/>
            </a:solidFill>
          </a:ln>
          <a:effectLst/>
        </c:spPr>
      </c:pivotFmt>
      <c:pivotFmt>
        <c:idx val="39"/>
        <c:spPr>
          <a:solidFill>
            <a:schemeClr val="accent4">
              <a:tint val="56000"/>
            </a:schemeClr>
          </a:solidFill>
          <a:ln w="19050">
            <a:solidFill>
              <a:schemeClr val="lt1"/>
            </a:solidFill>
          </a:ln>
          <a:effectLst/>
        </c:spPr>
      </c:pivotFmt>
      <c:pivotFmt>
        <c:idx val="40"/>
        <c:spPr>
          <a:solidFill>
            <a:schemeClr val="accent4">
              <a:tint val="69000"/>
            </a:schemeClr>
          </a:solidFill>
          <a:ln w="19050">
            <a:solidFill>
              <a:schemeClr val="lt1"/>
            </a:solidFill>
          </a:ln>
          <a:effectLst/>
        </c:spPr>
      </c:pivotFmt>
      <c:pivotFmt>
        <c:idx val="41"/>
        <c:spPr>
          <a:solidFill>
            <a:schemeClr val="accent4">
              <a:shade val="93000"/>
            </a:schemeClr>
          </a:solidFill>
          <a:ln w="19050">
            <a:solidFill>
              <a:schemeClr val="lt1"/>
            </a:solidFill>
          </a:ln>
          <a:effectLst/>
        </c:spPr>
      </c:pivotFmt>
      <c:pivotFmt>
        <c:idx val="42"/>
        <c:spPr>
          <a:solidFill>
            <a:schemeClr val="accent4">
              <a:shade val="80000"/>
            </a:schemeClr>
          </a:solidFill>
          <a:ln w="19050">
            <a:solidFill>
              <a:schemeClr val="lt1"/>
            </a:solidFill>
          </a:ln>
          <a:effectLst/>
        </c:spPr>
      </c:pivotFmt>
      <c:pivotFmt>
        <c:idx val="43"/>
        <c:spPr>
          <a:solidFill>
            <a:schemeClr val="accent4">
              <a:shade val="42000"/>
            </a:schemeClr>
          </a:solidFill>
          <a:ln w="19050">
            <a:solidFill>
              <a:schemeClr val="lt1"/>
            </a:solidFill>
          </a:ln>
          <a:effectLst/>
        </c:spPr>
      </c:pivotFmt>
      <c:pivotFmt>
        <c:idx val="44"/>
        <c:spPr>
          <a:solidFill>
            <a:schemeClr val="accent4">
              <a:shade val="55000"/>
            </a:schemeClr>
          </a:solidFill>
          <a:ln w="19050">
            <a:solidFill>
              <a:schemeClr val="lt1"/>
            </a:solidFill>
          </a:ln>
          <a:effectLst/>
        </c:spPr>
      </c:pivotFmt>
      <c:pivotFmt>
        <c:idx val="45"/>
        <c:spPr>
          <a:solidFill>
            <a:schemeClr val="accent4">
              <a:shade val="42000"/>
            </a:schemeClr>
          </a:solidFill>
          <a:ln w="19050">
            <a:solidFill>
              <a:schemeClr val="lt1"/>
            </a:solidFill>
          </a:ln>
          <a:effectLst/>
        </c:spPr>
      </c:pivotFmt>
    </c:pivotFmts>
    <c:plotArea>
      <c:layout/>
      <c:pieChart>
        <c:varyColors val="1"/>
        <c:ser>
          <c:idx val="0"/>
          <c:order val="0"/>
          <c:tx>
            <c:strRef>
              <c:f>CHARTS!$B$22</c:f>
              <c:strCache>
                <c:ptCount val="1"/>
                <c:pt idx="0">
                  <c:v>Total</c:v>
                </c:pt>
              </c:strCache>
            </c:strRef>
          </c:tx>
          <c:dPt>
            <c:idx val="0"/>
            <c:bubble3D val="0"/>
            <c:spPr>
              <a:solidFill>
                <a:schemeClr val="accent4">
                  <a:tint val="43000"/>
                </a:schemeClr>
              </a:solidFill>
              <a:ln w="19050">
                <a:solidFill>
                  <a:schemeClr val="lt1"/>
                </a:solidFill>
              </a:ln>
              <a:effectLst/>
            </c:spPr>
            <c:extLst>
              <c:ext xmlns:c16="http://schemas.microsoft.com/office/drawing/2014/chart" uri="{C3380CC4-5D6E-409C-BE32-E72D297353CC}">
                <c16:uniqueId val="{00000001-8867-4303-8E31-BD4244281205}"/>
              </c:ext>
            </c:extLst>
          </c:dPt>
          <c:dPt>
            <c:idx val="1"/>
            <c:bubble3D val="0"/>
            <c:spPr>
              <a:solidFill>
                <a:schemeClr val="accent4">
                  <a:tint val="56000"/>
                </a:schemeClr>
              </a:solidFill>
              <a:ln w="19050">
                <a:solidFill>
                  <a:schemeClr val="lt1"/>
                </a:solidFill>
              </a:ln>
              <a:effectLst/>
            </c:spPr>
            <c:extLst>
              <c:ext xmlns:c16="http://schemas.microsoft.com/office/drawing/2014/chart" uri="{C3380CC4-5D6E-409C-BE32-E72D297353CC}">
                <c16:uniqueId val="{00000003-8867-4303-8E31-BD4244281205}"/>
              </c:ext>
            </c:extLst>
          </c:dPt>
          <c:dPt>
            <c:idx val="2"/>
            <c:bubble3D val="0"/>
            <c:spPr>
              <a:solidFill>
                <a:schemeClr val="accent4">
                  <a:tint val="69000"/>
                </a:schemeClr>
              </a:solidFill>
              <a:ln w="19050">
                <a:solidFill>
                  <a:schemeClr val="lt1"/>
                </a:solidFill>
              </a:ln>
              <a:effectLst/>
            </c:spPr>
            <c:extLst>
              <c:ext xmlns:c16="http://schemas.microsoft.com/office/drawing/2014/chart" uri="{C3380CC4-5D6E-409C-BE32-E72D297353CC}">
                <c16:uniqueId val="{00000005-8867-4303-8E31-BD4244281205}"/>
              </c:ext>
            </c:extLst>
          </c:dPt>
          <c:dPt>
            <c:idx val="3"/>
            <c:bubble3D val="0"/>
            <c:spPr>
              <a:solidFill>
                <a:schemeClr val="accent4">
                  <a:tint val="81000"/>
                </a:schemeClr>
              </a:solidFill>
              <a:ln w="19050">
                <a:solidFill>
                  <a:schemeClr val="lt1"/>
                </a:solidFill>
              </a:ln>
              <a:effectLst/>
            </c:spPr>
            <c:extLst>
              <c:ext xmlns:c16="http://schemas.microsoft.com/office/drawing/2014/chart" uri="{C3380CC4-5D6E-409C-BE32-E72D297353CC}">
                <c16:uniqueId val="{00000007-8867-4303-8E31-BD4244281205}"/>
              </c:ext>
            </c:extLst>
          </c:dPt>
          <c:dPt>
            <c:idx val="4"/>
            <c:bubble3D val="0"/>
            <c:spPr>
              <a:solidFill>
                <a:schemeClr val="accent4">
                  <a:tint val="94000"/>
                </a:schemeClr>
              </a:solidFill>
              <a:ln w="19050">
                <a:solidFill>
                  <a:schemeClr val="lt1"/>
                </a:solidFill>
              </a:ln>
              <a:effectLst/>
            </c:spPr>
            <c:extLst>
              <c:ext xmlns:c16="http://schemas.microsoft.com/office/drawing/2014/chart" uri="{C3380CC4-5D6E-409C-BE32-E72D297353CC}">
                <c16:uniqueId val="{00000009-8867-4303-8E31-BD4244281205}"/>
              </c:ext>
            </c:extLst>
          </c:dPt>
          <c:dPt>
            <c:idx val="5"/>
            <c:bubble3D val="0"/>
            <c:spPr>
              <a:solidFill>
                <a:schemeClr val="accent4">
                  <a:shade val="93000"/>
                </a:schemeClr>
              </a:solidFill>
              <a:ln w="19050">
                <a:solidFill>
                  <a:schemeClr val="lt1"/>
                </a:solidFill>
              </a:ln>
              <a:effectLst/>
            </c:spPr>
            <c:extLst>
              <c:ext xmlns:c16="http://schemas.microsoft.com/office/drawing/2014/chart" uri="{C3380CC4-5D6E-409C-BE32-E72D297353CC}">
                <c16:uniqueId val="{0000000B-8867-4303-8E31-BD4244281205}"/>
              </c:ext>
            </c:extLst>
          </c:dPt>
          <c:dPt>
            <c:idx val="6"/>
            <c:bubble3D val="0"/>
            <c:spPr>
              <a:solidFill>
                <a:schemeClr val="accent4">
                  <a:shade val="80000"/>
                </a:schemeClr>
              </a:solidFill>
              <a:ln w="19050">
                <a:solidFill>
                  <a:schemeClr val="lt1"/>
                </a:solidFill>
              </a:ln>
              <a:effectLst/>
            </c:spPr>
            <c:extLst>
              <c:ext xmlns:c16="http://schemas.microsoft.com/office/drawing/2014/chart" uri="{C3380CC4-5D6E-409C-BE32-E72D297353CC}">
                <c16:uniqueId val="{0000000D-8867-4303-8E31-BD4244281205}"/>
              </c:ext>
            </c:extLst>
          </c:dPt>
          <c:dPt>
            <c:idx val="7"/>
            <c:bubble3D val="0"/>
            <c:spPr>
              <a:solidFill>
                <a:schemeClr val="accent4">
                  <a:shade val="68000"/>
                </a:schemeClr>
              </a:solidFill>
              <a:ln w="19050">
                <a:solidFill>
                  <a:schemeClr val="lt1"/>
                </a:solidFill>
              </a:ln>
              <a:effectLst/>
            </c:spPr>
            <c:extLst>
              <c:ext xmlns:c16="http://schemas.microsoft.com/office/drawing/2014/chart" uri="{C3380CC4-5D6E-409C-BE32-E72D297353CC}">
                <c16:uniqueId val="{0000000F-8867-4303-8E31-BD4244281205}"/>
              </c:ext>
            </c:extLst>
          </c:dPt>
          <c:dPt>
            <c:idx val="8"/>
            <c:bubble3D val="0"/>
            <c:spPr>
              <a:solidFill>
                <a:schemeClr val="accent4">
                  <a:tint val="56000"/>
                </a:schemeClr>
              </a:solidFill>
              <a:ln w="19050">
                <a:solidFill>
                  <a:schemeClr val="lt1"/>
                </a:solidFill>
              </a:ln>
              <a:effectLst/>
            </c:spPr>
            <c:extLst>
              <c:ext xmlns:c16="http://schemas.microsoft.com/office/drawing/2014/chart" uri="{C3380CC4-5D6E-409C-BE32-E72D297353CC}">
                <c16:uniqueId val="{00000011-8867-4303-8E31-BD4244281205}"/>
              </c:ext>
            </c:extLst>
          </c:dPt>
          <c:dPt>
            <c:idx val="9"/>
            <c:bubble3D val="0"/>
            <c:spPr>
              <a:solidFill>
                <a:schemeClr val="accent4">
                  <a:shade val="42000"/>
                </a:schemeClr>
              </a:solidFill>
              <a:ln w="19050">
                <a:solidFill>
                  <a:schemeClr val="lt1"/>
                </a:solidFill>
              </a:ln>
              <a:effectLst/>
            </c:spPr>
            <c:extLst>
              <c:ext xmlns:c16="http://schemas.microsoft.com/office/drawing/2014/chart" uri="{C3380CC4-5D6E-409C-BE32-E72D297353CC}">
                <c16:uniqueId val="{00000013-8867-4303-8E31-BD42442812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CHARTS!$A$23:$A$33</c:f>
              <c:strCache>
                <c:ptCount val="10"/>
                <c:pt idx="0">
                  <c:v>Gran Turismo</c:v>
                </c:pt>
                <c:pt idx="1">
                  <c:v>Gran Turismo 2</c:v>
                </c:pt>
                <c:pt idx="2">
                  <c:v>Gran Turismo 3: A-Spec</c:v>
                </c:pt>
                <c:pt idx="3">
                  <c:v>Gran Turismo 4</c:v>
                </c:pt>
                <c:pt idx="4">
                  <c:v>Gran Turismo 5</c:v>
                </c:pt>
                <c:pt idx="5">
                  <c:v>Mario Kart 64</c:v>
                </c:pt>
                <c:pt idx="6">
                  <c:v>Mario Kart 7</c:v>
                </c:pt>
                <c:pt idx="7">
                  <c:v>Mario Kart DS</c:v>
                </c:pt>
                <c:pt idx="8">
                  <c:v>Mario Kart Wii</c:v>
                </c:pt>
                <c:pt idx="9">
                  <c:v>Need for Speed Underground 2</c:v>
                </c:pt>
              </c:strCache>
            </c:strRef>
          </c:cat>
          <c:val>
            <c:numRef>
              <c:f>CHARTS!$B$23:$B$33</c:f>
              <c:numCache>
                <c:formatCode>General</c:formatCode>
                <c:ptCount val="10"/>
                <c:pt idx="0">
                  <c:v>10.95</c:v>
                </c:pt>
                <c:pt idx="1">
                  <c:v>9.49</c:v>
                </c:pt>
                <c:pt idx="2">
                  <c:v>14.98</c:v>
                </c:pt>
                <c:pt idx="3">
                  <c:v>11.66</c:v>
                </c:pt>
                <c:pt idx="4">
                  <c:v>10.77</c:v>
                </c:pt>
                <c:pt idx="5">
                  <c:v>9.8699999999999992</c:v>
                </c:pt>
                <c:pt idx="6">
                  <c:v>12.21</c:v>
                </c:pt>
                <c:pt idx="7">
                  <c:v>23.42</c:v>
                </c:pt>
                <c:pt idx="8">
                  <c:v>35.82</c:v>
                </c:pt>
                <c:pt idx="9">
                  <c:v>9.18</c:v>
                </c:pt>
              </c:numCache>
            </c:numRef>
          </c:val>
          <c:extLst>
            <c:ext xmlns:c16="http://schemas.microsoft.com/office/drawing/2014/chart" uri="{C3380CC4-5D6E-409C-BE32-E72D297353CC}">
              <c16:uniqueId val="{00000000-3F2C-4808-B71C-8E337C5ED95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[Videogamesdata1.xlsx]CHARTS!PivotTable13</c:name>
    <c:fmtId val="29"/>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tint val="43000"/>
            </a:schemeClr>
          </a:solidFill>
          <a:ln w="19050">
            <a:solidFill>
              <a:schemeClr val="lt1"/>
            </a:solidFill>
          </a:ln>
          <a:effectLst/>
        </c:spPr>
      </c:pivotFmt>
      <c:pivotFmt>
        <c:idx val="3"/>
        <c:spPr>
          <a:solidFill>
            <a:schemeClr val="accent4">
              <a:tint val="56000"/>
            </a:schemeClr>
          </a:solidFill>
          <a:ln w="19050">
            <a:solidFill>
              <a:schemeClr val="lt1"/>
            </a:solidFill>
          </a:ln>
          <a:effectLst/>
        </c:spPr>
      </c:pivotFmt>
      <c:pivotFmt>
        <c:idx val="4"/>
        <c:spPr>
          <a:solidFill>
            <a:schemeClr val="accent4">
              <a:tint val="69000"/>
            </a:schemeClr>
          </a:solidFill>
          <a:ln w="19050">
            <a:solidFill>
              <a:schemeClr val="lt1"/>
            </a:solidFill>
          </a:ln>
          <a:effectLst/>
        </c:spPr>
      </c:pivotFmt>
      <c:pivotFmt>
        <c:idx val="5"/>
        <c:spPr>
          <a:solidFill>
            <a:schemeClr val="accent4">
              <a:tint val="81000"/>
            </a:schemeClr>
          </a:solidFill>
          <a:ln w="19050">
            <a:solidFill>
              <a:schemeClr val="lt1"/>
            </a:solidFill>
          </a:ln>
          <a:effectLst/>
        </c:spPr>
      </c:pivotFmt>
      <c:pivotFmt>
        <c:idx val="6"/>
        <c:spPr>
          <a:solidFill>
            <a:schemeClr val="accent4">
              <a:tint val="94000"/>
            </a:schemeClr>
          </a:solidFill>
          <a:ln w="19050">
            <a:solidFill>
              <a:schemeClr val="lt1"/>
            </a:solidFill>
          </a:ln>
          <a:effectLst/>
        </c:spPr>
      </c:pivotFmt>
      <c:pivotFmt>
        <c:idx val="7"/>
        <c:spPr>
          <a:solidFill>
            <a:schemeClr val="accent4">
              <a:shade val="93000"/>
            </a:schemeClr>
          </a:solidFill>
          <a:ln w="19050">
            <a:solidFill>
              <a:schemeClr val="lt1"/>
            </a:solidFill>
          </a:ln>
          <a:effectLst/>
        </c:spPr>
      </c:pivotFmt>
      <c:pivotFmt>
        <c:idx val="8"/>
        <c:spPr>
          <a:solidFill>
            <a:schemeClr val="accent4">
              <a:shade val="80000"/>
            </a:schemeClr>
          </a:solidFill>
          <a:ln w="19050">
            <a:solidFill>
              <a:schemeClr val="lt1"/>
            </a:solidFill>
          </a:ln>
          <a:effectLst/>
        </c:spPr>
      </c:pivotFmt>
      <c:pivotFmt>
        <c:idx val="9"/>
        <c:spPr>
          <a:solidFill>
            <a:schemeClr val="accent4">
              <a:shade val="68000"/>
            </a:schemeClr>
          </a:solidFill>
          <a:ln w="19050">
            <a:solidFill>
              <a:schemeClr val="lt1"/>
            </a:solidFill>
          </a:ln>
          <a:effectLst/>
        </c:spPr>
      </c:pivotFmt>
      <c:pivotFmt>
        <c:idx val="10"/>
        <c:spPr>
          <a:solidFill>
            <a:schemeClr val="accent4">
              <a:shade val="55000"/>
            </a:schemeClr>
          </a:solidFill>
          <a:ln w="19050">
            <a:solidFill>
              <a:schemeClr val="lt1"/>
            </a:solidFill>
          </a:ln>
          <a:effectLst/>
        </c:spPr>
      </c:pivotFmt>
      <c:pivotFmt>
        <c:idx val="11"/>
        <c:spPr>
          <a:solidFill>
            <a:schemeClr val="accent4">
              <a:shade val="42000"/>
            </a:schemeClr>
          </a:solidFill>
          <a:ln w="19050">
            <a:solidFill>
              <a:schemeClr val="lt1"/>
            </a:solidFill>
          </a:ln>
          <a:effectLst/>
        </c:spPr>
      </c:pivotFmt>
      <c:pivotFmt>
        <c:idx val="1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tint val="43000"/>
            </a:schemeClr>
          </a:solidFill>
          <a:ln w="19050">
            <a:solidFill>
              <a:schemeClr val="lt1"/>
            </a:solidFill>
          </a:ln>
          <a:effectLst/>
        </c:spPr>
      </c:pivotFmt>
      <c:pivotFmt>
        <c:idx val="14"/>
        <c:spPr>
          <a:solidFill>
            <a:schemeClr val="accent4">
              <a:tint val="56000"/>
            </a:schemeClr>
          </a:solidFill>
          <a:ln w="19050">
            <a:solidFill>
              <a:schemeClr val="lt1"/>
            </a:solidFill>
          </a:ln>
          <a:effectLst/>
        </c:spPr>
      </c:pivotFmt>
      <c:pivotFmt>
        <c:idx val="15"/>
        <c:spPr>
          <a:solidFill>
            <a:schemeClr val="accent4">
              <a:tint val="69000"/>
            </a:schemeClr>
          </a:solidFill>
          <a:ln w="19050">
            <a:solidFill>
              <a:schemeClr val="lt1"/>
            </a:solidFill>
          </a:ln>
          <a:effectLst/>
        </c:spPr>
      </c:pivotFmt>
      <c:pivotFmt>
        <c:idx val="16"/>
        <c:spPr>
          <a:solidFill>
            <a:schemeClr val="accent4">
              <a:tint val="81000"/>
            </a:schemeClr>
          </a:solidFill>
          <a:ln w="19050">
            <a:solidFill>
              <a:schemeClr val="lt1"/>
            </a:solidFill>
          </a:ln>
          <a:effectLst/>
        </c:spPr>
      </c:pivotFmt>
      <c:pivotFmt>
        <c:idx val="17"/>
        <c:spPr>
          <a:solidFill>
            <a:schemeClr val="accent4">
              <a:tint val="94000"/>
            </a:schemeClr>
          </a:solidFill>
          <a:ln w="19050">
            <a:solidFill>
              <a:schemeClr val="lt1"/>
            </a:solidFill>
          </a:ln>
          <a:effectLst/>
        </c:spPr>
      </c:pivotFmt>
      <c:pivotFmt>
        <c:idx val="18"/>
        <c:spPr>
          <a:solidFill>
            <a:schemeClr val="accent4">
              <a:shade val="93000"/>
            </a:schemeClr>
          </a:solidFill>
          <a:ln w="19050">
            <a:solidFill>
              <a:schemeClr val="lt1"/>
            </a:solidFill>
          </a:ln>
          <a:effectLst/>
        </c:spPr>
      </c:pivotFmt>
      <c:pivotFmt>
        <c:idx val="19"/>
        <c:spPr>
          <a:solidFill>
            <a:schemeClr val="accent4">
              <a:shade val="80000"/>
            </a:schemeClr>
          </a:solidFill>
          <a:ln w="19050">
            <a:solidFill>
              <a:schemeClr val="lt1"/>
            </a:solidFill>
          </a:ln>
          <a:effectLst/>
        </c:spPr>
      </c:pivotFmt>
      <c:pivotFmt>
        <c:idx val="20"/>
        <c:spPr>
          <a:solidFill>
            <a:schemeClr val="accent4">
              <a:shade val="68000"/>
            </a:schemeClr>
          </a:solidFill>
          <a:ln w="19050">
            <a:solidFill>
              <a:schemeClr val="lt1"/>
            </a:solidFill>
          </a:ln>
          <a:effectLst/>
        </c:spPr>
      </c:pivotFmt>
      <c:pivotFmt>
        <c:idx val="21"/>
        <c:spPr>
          <a:solidFill>
            <a:schemeClr val="accent4">
              <a:shade val="55000"/>
            </a:schemeClr>
          </a:solidFill>
          <a:ln w="19050">
            <a:solidFill>
              <a:schemeClr val="lt1"/>
            </a:solidFill>
          </a:ln>
          <a:effectLst/>
        </c:spPr>
      </c:pivotFmt>
      <c:pivotFmt>
        <c:idx val="22"/>
        <c:spPr>
          <a:solidFill>
            <a:schemeClr val="accent4">
              <a:shade val="42000"/>
            </a:schemeClr>
          </a:solidFill>
          <a:ln w="19050">
            <a:solidFill>
              <a:schemeClr val="lt1"/>
            </a:solidFill>
          </a:ln>
          <a:effectLst/>
        </c:spPr>
      </c:pivotFmt>
      <c:pivotFmt>
        <c:idx val="2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tint val="43000"/>
            </a:schemeClr>
          </a:solidFill>
          <a:ln w="19050">
            <a:solidFill>
              <a:schemeClr val="lt1"/>
            </a:solidFill>
          </a:ln>
          <a:effectLst/>
        </c:spPr>
      </c:pivotFmt>
      <c:pivotFmt>
        <c:idx val="25"/>
        <c:spPr>
          <a:solidFill>
            <a:schemeClr val="accent4">
              <a:tint val="56000"/>
            </a:schemeClr>
          </a:solidFill>
          <a:ln w="19050">
            <a:solidFill>
              <a:schemeClr val="lt1"/>
            </a:solidFill>
          </a:ln>
          <a:effectLst/>
        </c:spPr>
      </c:pivotFmt>
      <c:pivotFmt>
        <c:idx val="26"/>
        <c:spPr>
          <a:solidFill>
            <a:schemeClr val="accent4">
              <a:tint val="69000"/>
            </a:schemeClr>
          </a:solidFill>
          <a:ln w="19050">
            <a:solidFill>
              <a:schemeClr val="lt1"/>
            </a:solidFill>
          </a:ln>
          <a:effectLst/>
        </c:spPr>
      </c:pivotFmt>
      <c:pivotFmt>
        <c:idx val="27"/>
        <c:spPr>
          <a:solidFill>
            <a:schemeClr val="accent4">
              <a:tint val="81000"/>
            </a:schemeClr>
          </a:solidFill>
          <a:ln w="19050">
            <a:solidFill>
              <a:schemeClr val="lt1"/>
            </a:solidFill>
          </a:ln>
          <a:effectLst/>
        </c:spPr>
      </c:pivotFmt>
      <c:pivotFmt>
        <c:idx val="28"/>
        <c:spPr>
          <a:solidFill>
            <a:schemeClr val="accent4">
              <a:tint val="94000"/>
            </a:schemeClr>
          </a:solidFill>
          <a:ln w="19050">
            <a:solidFill>
              <a:schemeClr val="lt1"/>
            </a:solidFill>
          </a:ln>
          <a:effectLst/>
        </c:spPr>
      </c:pivotFmt>
      <c:pivotFmt>
        <c:idx val="29"/>
        <c:spPr>
          <a:solidFill>
            <a:schemeClr val="accent4">
              <a:shade val="93000"/>
            </a:schemeClr>
          </a:solidFill>
          <a:ln w="19050">
            <a:solidFill>
              <a:schemeClr val="lt1"/>
            </a:solidFill>
          </a:ln>
          <a:effectLst/>
        </c:spPr>
      </c:pivotFmt>
      <c:pivotFmt>
        <c:idx val="30"/>
        <c:spPr>
          <a:solidFill>
            <a:schemeClr val="accent4">
              <a:shade val="80000"/>
            </a:schemeClr>
          </a:solidFill>
          <a:ln w="19050">
            <a:solidFill>
              <a:schemeClr val="lt1"/>
            </a:solidFill>
          </a:ln>
          <a:effectLst/>
        </c:spPr>
      </c:pivotFmt>
      <c:pivotFmt>
        <c:idx val="31"/>
        <c:spPr>
          <a:solidFill>
            <a:schemeClr val="accent4">
              <a:shade val="68000"/>
            </a:schemeClr>
          </a:solidFill>
          <a:ln w="19050">
            <a:solidFill>
              <a:schemeClr val="lt1"/>
            </a:solidFill>
          </a:ln>
          <a:effectLst/>
        </c:spPr>
      </c:pivotFmt>
      <c:pivotFmt>
        <c:idx val="32"/>
        <c:spPr>
          <a:solidFill>
            <a:schemeClr val="accent4">
              <a:shade val="55000"/>
            </a:schemeClr>
          </a:solidFill>
          <a:ln w="19050">
            <a:solidFill>
              <a:schemeClr val="lt1"/>
            </a:solidFill>
          </a:ln>
          <a:effectLst/>
        </c:spPr>
      </c:pivotFmt>
      <c:pivotFmt>
        <c:idx val="33"/>
        <c:spPr>
          <a:solidFill>
            <a:schemeClr val="accent4">
              <a:shade val="42000"/>
            </a:schemeClr>
          </a:solidFill>
          <a:ln w="19050">
            <a:solidFill>
              <a:schemeClr val="lt1"/>
            </a:solidFill>
          </a:ln>
          <a:effectLst/>
        </c:spPr>
      </c:pivotFmt>
      <c:pivotFmt>
        <c:idx val="3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tint val="43000"/>
            </a:schemeClr>
          </a:solidFill>
          <a:ln w="19050">
            <a:solidFill>
              <a:schemeClr val="lt1"/>
            </a:solidFill>
          </a:ln>
          <a:effectLst/>
        </c:spPr>
      </c:pivotFmt>
      <c:pivotFmt>
        <c:idx val="36"/>
        <c:spPr>
          <a:solidFill>
            <a:schemeClr val="accent4">
              <a:tint val="56000"/>
            </a:schemeClr>
          </a:solidFill>
          <a:ln w="19050">
            <a:solidFill>
              <a:schemeClr val="lt1"/>
            </a:solidFill>
          </a:ln>
          <a:effectLst/>
        </c:spPr>
      </c:pivotFmt>
      <c:pivotFmt>
        <c:idx val="37"/>
        <c:spPr>
          <a:solidFill>
            <a:schemeClr val="accent4">
              <a:tint val="69000"/>
            </a:schemeClr>
          </a:solidFill>
          <a:ln w="19050">
            <a:solidFill>
              <a:schemeClr val="lt1"/>
            </a:solidFill>
          </a:ln>
          <a:effectLst/>
        </c:spPr>
      </c:pivotFmt>
      <c:pivotFmt>
        <c:idx val="38"/>
        <c:spPr>
          <a:solidFill>
            <a:schemeClr val="accent4">
              <a:tint val="81000"/>
            </a:schemeClr>
          </a:solidFill>
          <a:ln w="19050">
            <a:solidFill>
              <a:schemeClr val="lt1"/>
            </a:solidFill>
          </a:ln>
          <a:effectLst/>
        </c:spPr>
      </c:pivotFmt>
      <c:pivotFmt>
        <c:idx val="39"/>
        <c:spPr>
          <a:solidFill>
            <a:schemeClr val="accent4">
              <a:tint val="94000"/>
            </a:schemeClr>
          </a:solidFill>
          <a:ln w="19050">
            <a:solidFill>
              <a:schemeClr val="lt1"/>
            </a:solidFill>
          </a:ln>
          <a:effectLst/>
        </c:spPr>
      </c:pivotFmt>
      <c:pivotFmt>
        <c:idx val="40"/>
        <c:spPr>
          <a:solidFill>
            <a:schemeClr val="accent4">
              <a:shade val="93000"/>
            </a:schemeClr>
          </a:solidFill>
          <a:ln w="19050">
            <a:solidFill>
              <a:schemeClr val="lt1"/>
            </a:solidFill>
          </a:ln>
          <a:effectLst/>
        </c:spPr>
      </c:pivotFmt>
      <c:pivotFmt>
        <c:idx val="41"/>
        <c:spPr>
          <a:solidFill>
            <a:schemeClr val="accent4">
              <a:shade val="80000"/>
            </a:schemeClr>
          </a:solidFill>
          <a:ln w="19050">
            <a:solidFill>
              <a:schemeClr val="lt1"/>
            </a:solidFill>
          </a:ln>
          <a:effectLst/>
        </c:spPr>
      </c:pivotFmt>
      <c:pivotFmt>
        <c:idx val="42"/>
        <c:spPr>
          <a:solidFill>
            <a:schemeClr val="accent4">
              <a:shade val="68000"/>
            </a:schemeClr>
          </a:solidFill>
          <a:ln w="19050">
            <a:solidFill>
              <a:schemeClr val="lt1"/>
            </a:solidFill>
          </a:ln>
          <a:effectLst/>
        </c:spPr>
      </c:pivotFmt>
      <c:pivotFmt>
        <c:idx val="43"/>
        <c:spPr>
          <a:solidFill>
            <a:schemeClr val="accent4">
              <a:shade val="55000"/>
            </a:schemeClr>
          </a:solidFill>
          <a:ln w="19050">
            <a:solidFill>
              <a:schemeClr val="lt1"/>
            </a:solidFill>
          </a:ln>
          <a:effectLst/>
        </c:spPr>
      </c:pivotFmt>
      <c:pivotFmt>
        <c:idx val="44"/>
        <c:spPr>
          <a:solidFill>
            <a:schemeClr val="accent4">
              <a:shade val="42000"/>
            </a:schemeClr>
          </a:solidFill>
          <a:ln w="19050">
            <a:solidFill>
              <a:schemeClr val="lt1"/>
            </a:solidFill>
          </a:ln>
          <a:effectLst/>
        </c:spPr>
      </c:pivotFmt>
      <c:pivotFmt>
        <c:idx val="4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4">
              <a:tint val="44000"/>
            </a:schemeClr>
          </a:solidFill>
          <a:ln w="19050">
            <a:solidFill>
              <a:schemeClr val="lt1"/>
            </a:solidFill>
          </a:ln>
          <a:effectLst/>
        </c:spPr>
      </c:pivotFmt>
      <c:pivotFmt>
        <c:idx val="47"/>
        <c:spPr>
          <a:solidFill>
            <a:schemeClr val="accent4">
              <a:tint val="58000"/>
            </a:schemeClr>
          </a:solidFill>
          <a:ln w="19050">
            <a:solidFill>
              <a:schemeClr val="lt1"/>
            </a:solidFill>
          </a:ln>
          <a:effectLst/>
        </c:spPr>
      </c:pivotFmt>
      <c:pivotFmt>
        <c:idx val="48"/>
        <c:spPr>
          <a:solidFill>
            <a:schemeClr val="accent4">
              <a:tint val="72000"/>
            </a:schemeClr>
          </a:solidFill>
          <a:ln w="19050">
            <a:solidFill>
              <a:schemeClr val="lt1"/>
            </a:solidFill>
          </a:ln>
          <a:effectLst/>
        </c:spPr>
      </c:pivotFmt>
      <c:pivotFmt>
        <c:idx val="49"/>
        <c:spPr>
          <a:solidFill>
            <a:schemeClr val="accent4">
              <a:tint val="86000"/>
            </a:schemeClr>
          </a:solidFill>
          <a:ln w="19050">
            <a:solidFill>
              <a:schemeClr val="lt1"/>
            </a:solidFill>
          </a:ln>
          <a:effectLst/>
        </c:spPr>
      </c:pivotFmt>
      <c:pivotFmt>
        <c:idx val="50"/>
        <c:spPr>
          <a:solidFill>
            <a:schemeClr val="accent4"/>
          </a:solidFill>
          <a:ln w="19050">
            <a:solidFill>
              <a:schemeClr val="lt1"/>
            </a:solidFill>
          </a:ln>
          <a:effectLst/>
        </c:spPr>
      </c:pivotFmt>
      <c:pivotFmt>
        <c:idx val="51"/>
        <c:spPr>
          <a:solidFill>
            <a:schemeClr val="accent4">
              <a:shade val="86000"/>
            </a:schemeClr>
          </a:solidFill>
          <a:ln w="19050">
            <a:solidFill>
              <a:schemeClr val="lt1"/>
            </a:solidFill>
          </a:ln>
          <a:effectLst/>
        </c:spPr>
      </c:pivotFmt>
      <c:pivotFmt>
        <c:idx val="52"/>
        <c:spPr>
          <a:solidFill>
            <a:schemeClr val="accent4">
              <a:shade val="72000"/>
            </a:schemeClr>
          </a:solidFill>
          <a:ln w="19050">
            <a:solidFill>
              <a:schemeClr val="lt1"/>
            </a:solidFill>
          </a:ln>
          <a:effectLst/>
        </c:spPr>
      </c:pivotFmt>
      <c:pivotFmt>
        <c:idx val="53"/>
        <c:spPr>
          <a:solidFill>
            <a:schemeClr val="accent4">
              <a:shade val="58000"/>
            </a:schemeClr>
          </a:solidFill>
          <a:ln w="19050">
            <a:solidFill>
              <a:schemeClr val="lt1"/>
            </a:solidFill>
          </a:ln>
          <a:effectLst/>
        </c:spPr>
      </c:pivotFmt>
      <c:pivotFmt>
        <c:idx val="54"/>
        <c:spPr>
          <a:solidFill>
            <a:schemeClr val="accent4">
              <a:shade val="44000"/>
            </a:schemeClr>
          </a:solidFill>
          <a:ln w="19050">
            <a:solidFill>
              <a:schemeClr val="lt1"/>
            </a:solidFill>
          </a:ln>
          <a:effectLst/>
        </c:spPr>
      </c:pivotFmt>
      <c:pivotFmt>
        <c:idx val="5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4">
              <a:tint val="44000"/>
            </a:schemeClr>
          </a:solidFill>
          <a:ln w="19050">
            <a:solidFill>
              <a:schemeClr val="lt1"/>
            </a:solidFill>
          </a:ln>
          <a:effectLst/>
        </c:spPr>
      </c:pivotFmt>
      <c:pivotFmt>
        <c:idx val="57"/>
        <c:spPr>
          <a:solidFill>
            <a:schemeClr val="accent4">
              <a:tint val="58000"/>
            </a:schemeClr>
          </a:solidFill>
          <a:ln w="19050">
            <a:solidFill>
              <a:schemeClr val="lt1"/>
            </a:solidFill>
          </a:ln>
          <a:effectLst/>
        </c:spPr>
      </c:pivotFmt>
      <c:pivotFmt>
        <c:idx val="58"/>
        <c:spPr>
          <a:solidFill>
            <a:schemeClr val="accent4">
              <a:tint val="72000"/>
            </a:schemeClr>
          </a:solidFill>
          <a:ln w="19050">
            <a:solidFill>
              <a:schemeClr val="lt1"/>
            </a:solidFill>
          </a:ln>
          <a:effectLst/>
        </c:spPr>
      </c:pivotFmt>
      <c:pivotFmt>
        <c:idx val="59"/>
        <c:spPr>
          <a:solidFill>
            <a:schemeClr val="accent4">
              <a:tint val="86000"/>
            </a:schemeClr>
          </a:solidFill>
          <a:ln w="19050">
            <a:solidFill>
              <a:schemeClr val="lt1"/>
            </a:solidFill>
          </a:ln>
          <a:effectLst/>
        </c:spPr>
      </c:pivotFmt>
      <c:pivotFmt>
        <c:idx val="60"/>
        <c:spPr>
          <a:solidFill>
            <a:schemeClr val="accent4"/>
          </a:solidFill>
          <a:ln w="19050">
            <a:solidFill>
              <a:schemeClr val="lt1"/>
            </a:solidFill>
          </a:ln>
          <a:effectLst/>
        </c:spPr>
      </c:pivotFmt>
      <c:pivotFmt>
        <c:idx val="61"/>
        <c:spPr>
          <a:solidFill>
            <a:schemeClr val="accent4">
              <a:shade val="86000"/>
            </a:schemeClr>
          </a:solidFill>
          <a:ln w="19050">
            <a:solidFill>
              <a:schemeClr val="lt1"/>
            </a:solidFill>
          </a:ln>
          <a:effectLst/>
        </c:spPr>
      </c:pivotFmt>
      <c:pivotFmt>
        <c:idx val="62"/>
        <c:spPr>
          <a:solidFill>
            <a:schemeClr val="accent4">
              <a:shade val="72000"/>
            </a:schemeClr>
          </a:solidFill>
          <a:ln w="19050">
            <a:solidFill>
              <a:schemeClr val="lt1"/>
            </a:solidFill>
          </a:ln>
          <a:effectLst/>
        </c:spPr>
      </c:pivotFmt>
      <c:pivotFmt>
        <c:idx val="63"/>
        <c:spPr>
          <a:solidFill>
            <a:schemeClr val="accent4">
              <a:shade val="58000"/>
            </a:schemeClr>
          </a:solidFill>
          <a:ln w="19050">
            <a:solidFill>
              <a:schemeClr val="lt1"/>
            </a:solidFill>
          </a:ln>
          <a:effectLst/>
        </c:spPr>
      </c:pivotFmt>
      <c:pivotFmt>
        <c:idx val="64"/>
        <c:spPr>
          <a:solidFill>
            <a:schemeClr val="accent4">
              <a:shade val="44000"/>
            </a:schemeClr>
          </a:solidFill>
          <a:ln w="19050">
            <a:solidFill>
              <a:schemeClr val="lt1"/>
            </a:solidFill>
          </a:ln>
          <a:effectLst/>
        </c:spPr>
      </c:pivotFmt>
      <c:pivotFmt>
        <c:idx val="65"/>
        <c:spPr>
          <a:solidFill>
            <a:schemeClr val="accent4">
              <a:tint val="43000"/>
            </a:schemeClr>
          </a:solidFill>
          <a:ln w="19050">
            <a:solidFill>
              <a:schemeClr val="lt1"/>
            </a:solidFill>
          </a:ln>
          <a:effectLst/>
        </c:spPr>
      </c:pivotFmt>
      <c:pivotFmt>
        <c:idx val="66"/>
        <c:spPr>
          <a:solidFill>
            <a:schemeClr val="accent4">
              <a:tint val="56000"/>
            </a:schemeClr>
          </a:solidFill>
          <a:ln w="19050">
            <a:solidFill>
              <a:schemeClr val="lt1"/>
            </a:solidFill>
          </a:ln>
          <a:effectLst/>
        </c:spPr>
      </c:pivotFmt>
      <c:pivotFmt>
        <c:idx val="67"/>
        <c:spPr>
          <a:solidFill>
            <a:schemeClr val="accent4">
              <a:tint val="69000"/>
            </a:schemeClr>
          </a:solidFill>
          <a:ln w="19050">
            <a:solidFill>
              <a:schemeClr val="lt1"/>
            </a:solidFill>
          </a:ln>
          <a:effectLst/>
        </c:spPr>
      </c:pivotFmt>
      <c:pivotFmt>
        <c:idx val="68"/>
        <c:spPr>
          <a:solidFill>
            <a:schemeClr val="accent4">
              <a:tint val="81000"/>
            </a:schemeClr>
          </a:solidFill>
          <a:ln w="19050">
            <a:solidFill>
              <a:schemeClr val="lt1"/>
            </a:solidFill>
          </a:ln>
          <a:effectLst/>
        </c:spPr>
      </c:pivotFmt>
      <c:pivotFmt>
        <c:idx val="69"/>
        <c:spPr>
          <a:solidFill>
            <a:schemeClr val="accent4">
              <a:tint val="94000"/>
            </a:schemeClr>
          </a:solidFill>
          <a:ln w="19050">
            <a:solidFill>
              <a:schemeClr val="lt1"/>
            </a:solidFill>
          </a:ln>
          <a:effectLst/>
        </c:spPr>
      </c:pivotFmt>
      <c:pivotFmt>
        <c:idx val="70"/>
        <c:spPr>
          <a:solidFill>
            <a:schemeClr val="accent4">
              <a:shade val="93000"/>
            </a:schemeClr>
          </a:solidFill>
          <a:ln w="19050">
            <a:solidFill>
              <a:schemeClr val="lt1"/>
            </a:solidFill>
          </a:ln>
          <a:effectLst/>
        </c:spPr>
      </c:pivotFmt>
      <c:pivotFmt>
        <c:idx val="71"/>
        <c:spPr>
          <a:solidFill>
            <a:schemeClr val="accent4">
              <a:shade val="80000"/>
            </a:schemeClr>
          </a:solidFill>
          <a:ln w="19050">
            <a:solidFill>
              <a:schemeClr val="lt1"/>
            </a:solidFill>
          </a:ln>
          <a:effectLst/>
        </c:spPr>
      </c:pivotFmt>
      <c:pivotFmt>
        <c:idx val="72"/>
        <c:spPr>
          <a:solidFill>
            <a:schemeClr val="accent4">
              <a:shade val="68000"/>
            </a:schemeClr>
          </a:solidFill>
          <a:ln w="19050">
            <a:solidFill>
              <a:schemeClr val="lt1"/>
            </a:solidFill>
          </a:ln>
          <a:effectLst/>
        </c:spPr>
      </c:pivotFmt>
      <c:pivotFmt>
        <c:idx val="73"/>
        <c:spPr>
          <a:solidFill>
            <a:schemeClr val="accent4">
              <a:shade val="55000"/>
            </a:schemeClr>
          </a:solidFill>
          <a:ln w="19050">
            <a:solidFill>
              <a:schemeClr val="lt1"/>
            </a:solidFill>
          </a:ln>
          <a:effectLst/>
        </c:spPr>
      </c:pivotFmt>
      <c:pivotFmt>
        <c:idx val="74"/>
        <c:spPr>
          <a:solidFill>
            <a:schemeClr val="accent4">
              <a:shade val="42000"/>
            </a:schemeClr>
          </a:solidFill>
          <a:ln w="19050">
            <a:solidFill>
              <a:schemeClr val="lt1"/>
            </a:solidFill>
          </a:ln>
          <a:effectLst/>
        </c:spPr>
      </c:pivotFmt>
      <c:pivotFmt>
        <c:idx val="75"/>
        <c:spPr>
          <a:solidFill>
            <a:schemeClr val="accent4">
              <a:tint val="43000"/>
            </a:schemeClr>
          </a:solidFill>
          <a:ln w="19050">
            <a:solidFill>
              <a:schemeClr val="lt1"/>
            </a:solidFill>
          </a:ln>
          <a:effectLst/>
        </c:spPr>
      </c:pivotFmt>
      <c:pivotFmt>
        <c:idx val="76"/>
        <c:spPr>
          <a:solidFill>
            <a:schemeClr val="accent4">
              <a:tint val="56000"/>
            </a:schemeClr>
          </a:solidFill>
          <a:ln w="19050">
            <a:solidFill>
              <a:schemeClr val="lt1"/>
            </a:solidFill>
          </a:ln>
          <a:effectLst/>
        </c:spPr>
      </c:pivotFmt>
      <c:pivotFmt>
        <c:idx val="77"/>
        <c:spPr>
          <a:solidFill>
            <a:schemeClr val="accent4">
              <a:tint val="69000"/>
            </a:schemeClr>
          </a:solidFill>
          <a:ln w="19050">
            <a:solidFill>
              <a:schemeClr val="lt1"/>
            </a:solidFill>
          </a:ln>
          <a:effectLst/>
        </c:spPr>
      </c:pivotFmt>
      <c:pivotFmt>
        <c:idx val="78"/>
        <c:spPr>
          <a:solidFill>
            <a:schemeClr val="accent4">
              <a:tint val="81000"/>
            </a:schemeClr>
          </a:solidFill>
          <a:ln w="19050">
            <a:solidFill>
              <a:schemeClr val="lt1"/>
            </a:solidFill>
          </a:ln>
          <a:effectLst/>
        </c:spPr>
      </c:pivotFmt>
      <c:pivotFmt>
        <c:idx val="79"/>
        <c:spPr>
          <a:solidFill>
            <a:schemeClr val="accent4">
              <a:tint val="94000"/>
            </a:schemeClr>
          </a:solidFill>
          <a:ln w="19050">
            <a:solidFill>
              <a:schemeClr val="lt1"/>
            </a:solidFill>
          </a:ln>
          <a:effectLst/>
        </c:spPr>
      </c:pivotFmt>
      <c:pivotFmt>
        <c:idx val="80"/>
        <c:spPr>
          <a:solidFill>
            <a:schemeClr val="accent4">
              <a:shade val="93000"/>
            </a:schemeClr>
          </a:solidFill>
          <a:ln w="19050">
            <a:solidFill>
              <a:schemeClr val="lt1"/>
            </a:solidFill>
          </a:ln>
          <a:effectLst/>
        </c:spPr>
      </c:pivotFmt>
      <c:pivotFmt>
        <c:idx val="81"/>
        <c:spPr>
          <a:solidFill>
            <a:schemeClr val="accent4">
              <a:shade val="80000"/>
            </a:schemeClr>
          </a:solidFill>
          <a:ln w="19050">
            <a:solidFill>
              <a:schemeClr val="lt1"/>
            </a:solidFill>
          </a:ln>
          <a:effectLst/>
        </c:spPr>
      </c:pivotFmt>
      <c:pivotFmt>
        <c:idx val="82"/>
        <c:spPr>
          <a:solidFill>
            <a:schemeClr val="accent4">
              <a:shade val="68000"/>
            </a:schemeClr>
          </a:solidFill>
          <a:ln w="19050">
            <a:solidFill>
              <a:schemeClr val="lt1"/>
            </a:solidFill>
          </a:ln>
          <a:effectLst/>
        </c:spPr>
      </c:pivotFmt>
      <c:pivotFmt>
        <c:idx val="83"/>
        <c:spPr>
          <a:solidFill>
            <a:schemeClr val="accent4">
              <a:shade val="55000"/>
            </a:schemeClr>
          </a:solidFill>
          <a:ln w="19050">
            <a:solidFill>
              <a:schemeClr val="lt1"/>
            </a:solidFill>
          </a:ln>
          <a:effectLst/>
        </c:spPr>
      </c:pivotFmt>
    </c:pivotFmts>
    <c:plotArea>
      <c:layout/>
      <c:pieChart>
        <c:varyColors val="1"/>
        <c:ser>
          <c:idx val="0"/>
          <c:order val="0"/>
          <c:tx>
            <c:strRef>
              <c:f>CHARTS!$B$22</c:f>
              <c:strCache>
                <c:ptCount val="1"/>
                <c:pt idx="0">
                  <c:v>Total</c:v>
                </c:pt>
              </c:strCache>
            </c:strRef>
          </c:tx>
          <c:dPt>
            <c:idx val="0"/>
            <c:bubble3D val="0"/>
            <c:spPr>
              <a:solidFill>
                <a:schemeClr val="accent4">
                  <a:tint val="43000"/>
                </a:schemeClr>
              </a:solidFill>
              <a:ln w="19050">
                <a:solidFill>
                  <a:schemeClr val="lt1"/>
                </a:solidFill>
              </a:ln>
              <a:effectLst/>
            </c:spPr>
            <c:extLst>
              <c:ext xmlns:c16="http://schemas.microsoft.com/office/drawing/2014/chart" uri="{C3380CC4-5D6E-409C-BE32-E72D297353CC}">
                <c16:uniqueId val="{00000001-448E-4E8D-B2CD-9AA9BFDDDDEB}"/>
              </c:ext>
            </c:extLst>
          </c:dPt>
          <c:dPt>
            <c:idx val="1"/>
            <c:bubble3D val="0"/>
            <c:spPr>
              <a:solidFill>
                <a:schemeClr val="accent4">
                  <a:tint val="56000"/>
                </a:schemeClr>
              </a:solidFill>
              <a:ln w="19050">
                <a:solidFill>
                  <a:schemeClr val="lt1"/>
                </a:solidFill>
              </a:ln>
              <a:effectLst/>
            </c:spPr>
            <c:extLst>
              <c:ext xmlns:c16="http://schemas.microsoft.com/office/drawing/2014/chart" uri="{C3380CC4-5D6E-409C-BE32-E72D297353CC}">
                <c16:uniqueId val="{00000003-448E-4E8D-B2CD-9AA9BFDDDDEB}"/>
              </c:ext>
            </c:extLst>
          </c:dPt>
          <c:dPt>
            <c:idx val="2"/>
            <c:bubble3D val="0"/>
            <c:spPr>
              <a:solidFill>
                <a:schemeClr val="accent4">
                  <a:tint val="69000"/>
                </a:schemeClr>
              </a:solidFill>
              <a:ln w="19050">
                <a:solidFill>
                  <a:schemeClr val="lt1"/>
                </a:solidFill>
              </a:ln>
              <a:effectLst/>
            </c:spPr>
            <c:extLst>
              <c:ext xmlns:c16="http://schemas.microsoft.com/office/drawing/2014/chart" uri="{C3380CC4-5D6E-409C-BE32-E72D297353CC}">
                <c16:uniqueId val="{00000005-448E-4E8D-B2CD-9AA9BFDDDDEB}"/>
              </c:ext>
            </c:extLst>
          </c:dPt>
          <c:dPt>
            <c:idx val="3"/>
            <c:bubble3D val="0"/>
            <c:spPr>
              <a:solidFill>
                <a:schemeClr val="accent4">
                  <a:tint val="81000"/>
                </a:schemeClr>
              </a:solidFill>
              <a:ln w="19050">
                <a:solidFill>
                  <a:schemeClr val="lt1"/>
                </a:solidFill>
              </a:ln>
              <a:effectLst/>
            </c:spPr>
            <c:extLst>
              <c:ext xmlns:c16="http://schemas.microsoft.com/office/drawing/2014/chart" uri="{C3380CC4-5D6E-409C-BE32-E72D297353CC}">
                <c16:uniqueId val="{00000007-448E-4E8D-B2CD-9AA9BFDDDDEB}"/>
              </c:ext>
            </c:extLst>
          </c:dPt>
          <c:dPt>
            <c:idx val="4"/>
            <c:bubble3D val="0"/>
            <c:spPr>
              <a:solidFill>
                <a:schemeClr val="accent4">
                  <a:tint val="94000"/>
                </a:schemeClr>
              </a:solidFill>
              <a:ln w="19050">
                <a:solidFill>
                  <a:schemeClr val="lt1"/>
                </a:solidFill>
              </a:ln>
              <a:effectLst/>
            </c:spPr>
            <c:extLst>
              <c:ext xmlns:c16="http://schemas.microsoft.com/office/drawing/2014/chart" uri="{C3380CC4-5D6E-409C-BE32-E72D297353CC}">
                <c16:uniqueId val="{00000009-448E-4E8D-B2CD-9AA9BFDDDDEB}"/>
              </c:ext>
            </c:extLst>
          </c:dPt>
          <c:dPt>
            <c:idx val="5"/>
            <c:bubble3D val="0"/>
            <c:spPr>
              <a:solidFill>
                <a:schemeClr val="accent4">
                  <a:shade val="93000"/>
                </a:schemeClr>
              </a:solidFill>
              <a:ln w="19050">
                <a:solidFill>
                  <a:schemeClr val="lt1"/>
                </a:solidFill>
              </a:ln>
              <a:effectLst/>
            </c:spPr>
            <c:extLst>
              <c:ext xmlns:c16="http://schemas.microsoft.com/office/drawing/2014/chart" uri="{C3380CC4-5D6E-409C-BE32-E72D297353CC}">
                <c16:uniqueId val="{0000000B-448E-4E8D-B2CD-9AA9BFDDDDEB}"/>
              </c:ext>
            </c:extLst>
          </c:dPt>
          <c:dPt>
            <c:idx val="6"/>
            <c:bubble3D val="0"/>
            <c:spPr>
              <a:solidFill>
                <a:schemeClr val="accent4">
                  <a:shade val="80000"/>
                </a:schemeClr>
              </a:solidFill>
              <a:ln w="19050">
                <a:solidFill>
                  <a:schemeClr val="lt1"/>
                </a:solidFill>
              </a:ln>
              <a:effectLst/>
            </c:spPr>
            <c:extLst>
              <c:ext xmlns:c16="http://schemas.microsoft.com/office/drawing/2014/chart" uri="{C3380CC4-5D6E-409C-BE32-E72D297353CC}">
                <c16:uniqueId val="{0000000D-448E-4E8D-B2CD-9AA9BFDDDDEB}"/>
              </c:ext>
            </c:extLst>
          </c:dPt>
          <c:dPt>
            <c:idx val="7"/>
            <c:bubble3D val="0"/>
            <c:spPr>
              <a:solidFill>
                <a:schemeClr val="accent4">
                  <a:shade val="68000"/>
                </a:schemeClr>
              </a:solidFill>
              <a:ln w="19050">
                <a:solidFill>
                  <a:schemeClr val="lt1"/>
                </a:solidFill>
              </a:ln>
              <a:effectLst/>
            </c:spPr>
            <c:extLst>
              <c:ext xmlns:c16="http://schemas.microsoft.com/office/drawing/2014/chart" uri="{C3380CC4-5D6E-409C-BE32-E72D297353CC}">
                <c16:uniqueId val="{0000000F-448E-4E8D-B2CD-9AA9BFDDDDEB}"/>
              </c:ext>
            </c:extLst>
          </c:dPt>
          <c:dPt>
            <c:idx val="8"/>
            <c:bubble3D val="0"/>
            <c:spPr>
              <a:solidFill>
                <a:schemeClr val="accent4">
                  <a:tint val="56000"/>
                </a:schemeClr>
              </a:solidFill>
              <a:ln w="19050">
                <a:solidFill>
                  <a:schemeClr val="lt1"/>
                </a:solidFill>
              </a:ln>
              <a:effectLst/>
            </c:spPr>
            <c:extLst>
              <c:ext xmlns:c16="http://schemas.microsoft.com/office/drawing/2014/chart" uri="{C3380CC4-5D6E-409C-BE32-E72D297353CC}">
                <c16:uniqueId val="{00000011-448E-4E8D-B2CD-9AA9BFDDDDEB}"/>
              </c:ext>
            </c:extLst>
          </c:dPt>
          <c:dPt>
            <c:idx val="9"/>
            <c:bubble3D val="0"/>
            <c:spPr>
              <a:solidFill>
                <a:schemeClr val="accent4">
                  <a:shade val="42000"/>
                </a:schemeClr>
              </a:solidFill>
              <a:ln w="19050">
                <a:solidFill>
                  <a:schemeClr val="lt1"/>
                </a:solidFill>
              </a:ln>
              <a:effectLst/>
            </c:spPr>
            <c:extLst>
              <c:ext xmlns:c16="http://schemas.microsoft.com/office/drawing/2014/chart" uri="{C3380CC4-5D6E-409C-BE32-E72D297353CC}">
                <c16:uniqueId val="{00000013-448E-4E8D-B2CD-9AA9BFDDDD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CHARTS!$A$23:$A$33</c:f>
              <c:strCache>
                <c:ptCount val="10"/>
                <c:pt idx="0">
                  <c:v>Gran Turismo</c:v>
                </c:pt>
                <c:pt idx="1">
                  <c:v>Gran Turismo 2</c:v>
                </c:pt>
                <c:pt idx="2">
                  <c:v>Gran Turismo 3: A-Spec</c:v>
                </c:pt>
                <c:pt idx="3">
                  <c:v>Gran Turismo 4</c:v>
                </c:pt>
                <c:pt idx="4">
                  <c:v>Gran Turismo 5</c:v>
                </c:pt>
                <c:pt idx="5">
                  <c:v>Mario Kart 64</c:v>
                </c:pt>
                <c:pt idx="6">
                  <c:v>Mario Kart 7</c:v>
                </c:pt>
                <c:pt idx="7">
                  <c:v>Mario Kart DS</c:v>
                </c:pt>
                <c:pt idx="8">
                  <c:v>Mario Kart Wii</c:v>
                </c:pt>
                <c:pt idx="9">
                  <c:v>Need for Speed Underground 2</c:v>
                </c:pt>
              </c:strCache>
            </c:strRef>
          </c:cat>
          <c:val>
            <c:numRef>
              <c:f>CHARTS!$B$23:$B$33</c:f>
              <c:numCache>
                <c:formatCode>General</c:formatCode>
                <c:ptCount val="10"/>
                <c:pt idx="0">
                  <c:v>10.95</c:v>
                </c:pt>
                <c:pt idx="1">
                  <c:v>9.49</c:v>
                </c:pt>
                <c:pt idx="2">
                  <c:v>14.98</c:v>
                </c:pt>
                <c:pt idx="3">
                  <c:v>11.66</c:v>
                </c:pt>
                <c:pt idx="4">
                  <c:v>10.77</c:v>
                </c:pt>
                <c:pt idx="5">
                  <c:v>9.8699999999999992</c:v>
                </c:pt>
                <c:pt idx="6">
                  <c:v>12.21</c:v>
                </c:pt>
                <c:pt idx="7">
                  <c:v>23.42</c:v>
                </c:pt>
                <c:pt idx="8">
                  <c:v>35.82</c:v>
                </c:pt>
                <c:pt idx="9">
                  <c:v>9.18</c:v>
                </c:pt>
              </c:numCache>
            </c:numRef>
          </c:val>
          <c:extLst>
            <c:ext xmlns:c16="http://schemas.microsoft.com/office/drawing/2014/chart" uri="{C3380CC4-5D6E-409C-BE32-E72D297353CC}">
              <c16:uniqueId val="{00000014-448E-4E8D-B2CD-9AA9BFDDDD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672309896560451"/>
          <c:y val="0.11835749771874683"/>
          <c:w val="0.34998118923368737"/>
          <c:h val="0.8505744702423198"/>
        </c:manualLayout>
      </c:layout>
      <c:overlay val="0"/>
      <c:spPr>
        <a:solidFill>
          <a:schemeClr val="accent5">
            <a:lumMod val="50000"/>
          </a:schemeClr>
        </a:solidFill>
        <a:ln>
          <a:noFill/>
        </a:ln>
        <a:effectLst>
          <a:outerShdw blurRad="50800" dist="50800" dir="5400000" algn="ctr" rotWithShape="0">
            <a:schemeClr val="accent5">
              <a:lumMod val="50000"/>
            </a:scheme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[Videogamesdata1.xlsx]CHARTS!PivotTable1</c:name>
    <c:fmtId val="5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latin typeface="Arial Black" panose="020B0A04020102020204" pitchFamily="34" charset="0"/>
              </a:rPr>
              <a:t>TOP</a:t>
            </a:r>
            <a:r>
              <a:rPr lang="en-IN" baseline="0">
                <a:latin typeface="Arial Black" panose="020B0A04020102020204" pitchFamily="34" charset="0"/>
              </a:rPr>
              <a:t> PUBLISHER</a:t>
            </a:r>
            <a:endParaRPr lang="en-IN">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c:f>
              <c:strCache>
                <c:ptCount val="1"/>
                <c:pt idx="0">
                  <c:v>Total</c:v>
                </c:pt>
              </c:strCache>
            </c:strRef>
          </c:tx>
          <c:spPr>
            <a:solidFill>
              <a:schemeClr val="accent4"/>
            </a:solidFill>
            <a:ln>
              <a:noFill/>
            </a:ln>
            <a:effectLst/>
          </c:spPr>
          <c:invertIfNegative val="0"/>
          <c:cat>
            <c:strRef>
              <c:f>CHARTS!$A$4:$A$14</c:f>
              <c:strCache>
                <c:ptCount val="10"/>
                <c:pt idx="0">
                  <c:v>THQ</c:v>
                </c:pt>
                <c:pt idx="1">
                  <c:v>Disney Interactive Studios</c:v>
                </c:pt>
                <c:pt idx="2">
                  <c:v>Acclaim Entertainment</c:v>
                </c:pt>
                <c:pt idx="3">
                  <c:v>Vivendi Games</c:v>
                </c:pt>
                <c:pt idx="4">
                  <c:v>Codemasters</c:v>
                </c:pt>
                <c:pt idx="5">
                  <c:v>Take-Two Interactive</c:v>
                </c:pt>
                <c:pt idx="6">
                  <c:v>Microsoft Game Studios</c:v>
                </c:pt>
                <c:pt idx="7">
                  <c:v>Electronic Arts</c:v>
                </c:pt>
                <c:pt idx="8">
                  <c:v>Sony Computer Entertainment</c:v>
                </c:pt>
                <c:pt idx="9">
                  <c:v>Nintendo</c:v>
                </c:pt>
              </c:strCache>
            </c:strRef>
          </c:cat>
          <c:val>
            <c:numRef>
              <c:f>CHARTS!$B$4:$B$14</c:f>
              <c:numCache>
                <c:formatCode>General</c:formatCode>
                <c:ptCount val="10"/>
                <c:pt idx="0">
                  <c:v>2.1800000000000002</c:v>
                </c:pt>
                <c:pt idx="1">
                  <c:v>2.48</c:v>
                </c:pt>
                <c:pt idx="2">
                  <c:v>2.52</c:v>
                </c:pt>
                <c:pt idx="3">
                  <c:v>4.7</c:v>
                </c:pt>
                <c:pt idx="4">
                  <c:v>5.15</c:v>
                </c:pt>
                <c:pt idx="5">
                  <c:v>11.09</c:v>
                </c:pt>
                <c:pt idx="6">
                  <c:v>18.509999999999998</c:v>
                </c:pt>
                <c:pt idx="7">
                  <c:v>54.519999999999996</c:v>
                </c:pt>
                <c:pt idx="8">
                  <c:v>82.47999999999999</c:v>
                </c:pt>
                <c:pt idx="9">
                  <c:v>132.95999999999998</c:v>
                </c:pt>
              </c:numCache>
            </c:numRef>
          </c:val>
          <c:extLst>
            <c:ext xmlns:c16="http://schemas.microsoft.com/office/drawing/2014/chart" uri="{C3380CC4-5D6E-409C-BE32-E72D297353CC}">
              <c16:uniqueId val="{00000000-862B-461B-994C-238CCCA11FEF}"/>
            </c:ext>
          </c:extLst>
        </c:ser>
        <c:dLbls>
          <c:showLegendKey val="0"/>
          <c:showVal val="0"/>
          <c:showCatName val="0"/>
          <c:showSerName val="0"/>
          <c:showPercent val="0"/>
          <c:showBubbleSize val="0"/>
        </c:dLbls>
        <c:gapWidth val="182"/>
        <c:axId val="112467232"/>
        <c:axId val="112466272"/>
      </c:barChart>
      <c:catAx>
        <c:axId val="11246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466272"/>
        <c:crosses val="autoZero"/>
        <c:auto val="1"/>
        <c:lblAlgn val="ctr"/>
        <c:lblOffset val="100"/>
        <c:noMultiLvlLbl val="0"/>
      </c:catAx>
      <c:valAx>
        <c:axId val="112466272"/>
        <c:scaling>
          <c:orientation val="minMax"/>
        </c:scaling>
        <c:delete val="1"/>
        <c:axPos val="b"/>
        <c:numFmt formatCode="General" sourceLinked="1"/>
        <c:majorTickMark val="none"/>
        <c:minorTickMark val="none"/>
        <c:tickLblPos val="nextTo"/>
        <c:crossAx val="11246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[Videogamesdata1.xlsx]CHARTS!PivotTable2</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545849771629488E-2"/>
          <c:y val="7.1144292542071635E-2"/>
          <c:w val="0.93755458944712788"/>
          <c:h val="0.73189449051876254"/>
        </c:manualLayout>
      </c:layout>
      <c:lineChart>
        <c:grouping val="standard"/>
        <c:varyColors val="0"/>
        <c:ser>
          <c:idx val="0"/>
          <c:order val="0"/>
          <c:tx>
            <c:strRef>
              <c:f>CHARTS!$B$39</c:f>
              <c:strCache>
                <c:ptCount val="1"/>
                <c:pt idx="0">
                  <c:v>Total</c:v>
                </c:pt>
              </c:strCache>
            </c:strRef>
          </c:tx>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cat>
            <c:strRef>
              <c:f>CHARTS!$A$40:$A$60</c:f>
              <c:strCache>
                <c:ptCount val="20"/>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strCache>
            </c:strRef>
          </c:cat>
          <c:val>
            <c:numRef>
              <c:f>CHARTS!$B$40:$B$60</c:f>
              <c:numCache>
                <c:formatCode>General</c:formatCode>
                <c:ptCount val="20"/>
                <c:pt idx="0">
                  <c:v>15.25</c:v>
                </c:pt>
                <c:pt idx="1">
                  <c:v>18.11</c:v>
                </c:pt>
                <c:pt idx="2">
                  <c:v>5.99</c:v>
                </c:pt>
                <c:pt idx="3">
                  <c:v>19.71</c:v>
                </c:pt>
                <c:pt idx="4">
                  <c:v>2.63</c:v>
                </c:pt>
                <c:pt idx="5">
                  <c:v>31.11</c:v>
                </c:pt>
                <c:pt idx="6">
                  <c:v>4.29</c:v>
                </c:pt>
                <c:pt idx="7">
                  <c:v>18.850000000000001</c:v>
                </c:pt>
                <c:pt idx="8">
                  <c:v>23.52</c:v>
                </c:pt>
                <c:pt idx="9">
                  <c:v>33.550000000000004</c:v>
                </c:pt>
                <c:pt idx="10">
                  <c:v>6.32</c:v>
                </c:pt>
                <c:pt idx="11">
                  <c:v>10.67</c:v>
                </c:pt>
                <c:pt idx="12">
                  <c:v>43.1</c:v>
                </c:pt>
                <c:pt idx="13">
                  <c:v>11.46</c:v>
                </c:pt>
                <c:pt idx="14">
                  <c:v>15.8</c:v>
                </c:pt>
                <c:pt idx="15">
                  <c:v>16.850000000000001</c:v>
                </c:pt>
                <c:pt idx="16">
                  <c:v>2.89</c:v>
                </c:pt>
                <c:pt idx="17">
                  <c:v>5.82</c:v>
                </c:pt>
                <c:pt idx="18">
                  <c:v>6.96</c:v>
                </c:pt>
                <c:pt idx="19">
                  <c:v>2.39</c:v>
                </c:pt>
              </c:numCache>
            </c:numRef>
          </c:val>
          <c:smooth val="0"/>
          <c:extLst>
            <c:ext xmlns:c16="http://schemas.microsoft.com/office/drawing/2014/chart" uri="{C3380CC4-5D6E-409C-BE32-E72D297353CC}">
              <c16:uniqueId val="{00000000-262F-4F37-8A18-9FED46DB8F9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29284336"/>
        <c:axId val="629258896"/>
      </c:lineChart>
      <c:catAx>
        <c:axId val="62928433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629258896"/>
        <c:crosses val="autoZero"/>
        <c:auto val="1"/>
        <c:lblAlgn val="ctr"/>
        <c:lblOffset val="100"/>
        <c:noMultiLvlLbl val="0"/>
      </c:catAx>
      <c:valAx>
        <c:axId val="629258896"/>
        <c:scaling>
          <c:orientation val="minMax"/>
        </c:scaling>
        <c:delete val="1"/>
        <c:axPos val="l"/>
        <c:numFmt formatCode="General" sourceLinked="1"/>
        <c:majorTickMark val="none"/>
        <c:minorTickMark val="none"/>
        <c:tickLblPos val="nextTo"/>
        <c:crossAx val="629284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[Videogamesdata1.xlsx]CHARTS!PivotTable6</c:name>
    <c:fmtId val="25"/>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4"/>
          </a:solidFill>
          <a:ln w="19050">
            <a:solidFill>
              <a:schemeClr val="lt1"/>
            </a:solidFill>
          </a:ln>
          <a:effectLst/>
        </c:spPr>
      </c:pivotFmt>
      <c:pivotFmt>
        <c:idx val="14"/>
        <c:spPr>
          <a:solidFill>
            <a:schemeClr val="accent4"/>
          </a:solidFill>
          <a:ln w="19050">
            <a:solidFill>
              <a:schemeClr val="lt1"/>
            </a:solidFill>
          </a:ln>
          <a:effectLst/>
        </c:spPr>
      </c:pivotFmt>
      <c:pivotFmt>
        <c:idx val="15"/>
        <c:spPr>
          <a:solidFill>
            <a:schemeClr val="accent4"/>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4"/>
          </a:solidFill>
          <a:ln w="19050">
            <a:solidFill>
              <a:schemeClr val="lt1"/>
            </a:solidFill>
          </a:ln>
          <a:effectLst/>
        </c:spPr>
      </c:pivotFmt>
      <c:pivotFmt>
        <c:idx val="18"/>
        <c:spPr>
          <a:solidFill>
            <a:schemeClr val="accent4"/>
          </a:solidFill>
          <a:ln w="19050">
            <a:solidFill>
              <a:schemeClr val="lt1"/>
            </a:solidFill>
          </a:ln>
          <a:effectLst/>
        </c:spPr>
      </c:pivotFmt>
      <c:pivotFmt>
        <c:idx val="19"/>
        <c:spPr>
          <a:solidFill>
            <a:schemeClr val="accent4"/>
          </a:solidFill>
          <a:ln w="19050">
            <a:solidFill>
              <a:schemeClr val="lt1"/>
            </a:solidFill>
          </a:ln>
          <a:effectLst/>
        </c:spPr>
      </c:pivotFmt>
      <c:pivotFmt>
        <c:idx val="20"/>
        <c:spPr>
          <a:solidFill>
            <a:schemeClr val="accent4"/>
          </a:solidFill>
          <a:ln w="19050">
            <a:solidFill>
              <a:schemeClr val="lt1"/>
            </a:solidFill>
          </a:ln>
          <a:effectLst/>
        </c:spPr>
      </c:pivotFmt>
      <c:pivotFmt>
        <c:idx val="21"/>
        <c:spPr>
          <a:solidFill>
            <a:schemeClr val="accent4"/>
          </a:solidFill>
          <a:ln w="19050">
            <a:solidFill>
              <a:schemeClr val="lt1"/>
            </a:solidFill>
          </a:ln>
          <a:effectLst/>
        </c:spPr>
      </c:pivotFmt>
      <c:pivotFmt>
        <c:idx val="22"/>
        <c:spPr>
          <a:solidFill>
            <a:schemeClr val="accent4"/>
          </a:solidFill>
          <a:ln w="19050">
            <a:solidFill>
              <a:schemeClr val="lt1"/>
            </a:solidFill>
          </a:ln>
          <a:effectLst/>
        </c:spPr>
      </c:pivotFmt>
      <c:pivotFmt>
        <c:idx val="23"/>
        <c:spPr>
          <a:solidFill>
            <a:schemeClr val="accent4"/>
          </a:solidFill>
          <a:ln w="19050">
            <a:solidFill>
              <a:schemeClr val="lt1"/>
            </a:solidFill>
          </a:ln>
          <a:effectLst/>
        </c:spPr>
      </c:pivotFmt>
      <c:pivotFmt>
        <c:idx val="24"/>
        <c:spPr>
          <a:solidFill>
            <a:schemeClr val="accent4"/>
          </a:solidFill>
          <a:ln w="19050">
            <a:solidFill>
              <a:schemeClr val="lt1"/>
            </a:solidFill>
          </a:ln>
          <a:effectLst/>
        </c:spPr>
      </c:pivotFmt>
      <c:pivotFmt>
        <c:idx val="25"/>
        <c:spPr>
          <a:solidFill>
            <a:schemeClr val="accent4"/>
          </a:solidFill>
          <a:ln w="19050">
            <a:solidFill>
              <a:schemeClr val="lt1"/>
            </a:solidFill>
          </a:ln>
          <a:effectLst/>
        </c:spPr>
      </c:pivotFmt>
      <c:pivotFmt>
        <c:idx val="26"/>
        <c:spPr>
          <a:solidFill>
            <a:schemeClr val="accent4"/>
          </a:solidFill>
          <a:ln w="19050">
            <a:solidFill>
              <a:schemeClr val="lt1"/>
            </a:solidFill>
          </a:ln>
          <a:effectLst/>
        </c:spPr>
      </c:pivotFmt>
      <c:pivotFmt>
        <c:idx val="27"/>
        <c:spPr>
          <a:solidFill>
            <a:schemeClr val="accent4"/>
          </a:solidFill>
          <a:ln w="19050">
            <a:solidFill>
              <a:schemeClr val="lt1"/>
            </a:solidFill>
          </a:ln>
          <a:effectLst/>
        </c:spPr>
      </c:pivotFmt>
      <c:pivotFmt>
        <c:idx val="28"/>
        <c:spPr>
          <a:solidFill>
            <a:schemeClr val="accent4"/>
          </a:solidFill>
          <a:ln w="19050">
            <a:solidFill>
              <a:schemeClr val="lt1"/>
            </a:solidFill>
          </a:ln>
          <a:effectLst/>
        </c:spPr>
      </c:pivotFmt>
      <c:pivotFmt>
        <c:idx val="29"/>
        <c:spPr>
          <a:solidFill>
            <a:schemeClr val="accent4"/>
          </a:solidFill>
          <a:ln w="19050">
            <a:solidFill>
              <a:schemeClr val="lt1"/>
            </a:solidFill>
          </a:ln>
          <a:effectLst/>
        </c:spPr>
      </c:pivotFmt>
      <c:pivotFmt>
        <c:idx val="3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4">
              <a:shade val="42000"/>
            </a:schemeClr>
          </a:solidFill>
          <a:ln w="19050">
            <a:solidFill>
              <a:schemeClr val="lt1"/>
            </a:solidFill>
          </a:ln>
          <a:effectLst/>
        </c:spPr>
      </c:pivotFmt>
      <c:pivotFmt>
        <c:idx val="32"/>
        <c:spPr>
          <a:solidFill>
            <a:schemeClr val="accent4">
              <a:shade val="55000"/>
            </a:schemeClr>
          </a:solidFill>
          <a:ln w="19050">
            <a:solidFill>
              <a:schemeClr val="lt1"/>
            </a:solidFill>
          </a:ln>
          <a:effectLst/>
        </c:spPr>
      </c:pivotFmt>
      <c:pivotFmt>
        <c:idx val="33"/>
        <c:spPr>
          <a:solidFill>
            <a:schemeClr val="accent4">
              <a:shade val="68000"/>
            </a:schemeClr>
          </a:solidFill>
          <a:ln w="19050">
            <a:solidFill>
              <a:schemeClr val="lt1"/>
            </a:solidFill>
          </a:ln>
          <a:effectLst/>
        </c:spPr>
      </c:pivotFmt>
      <c:pivotFmt>
        <c:idx val="34"/>
        <c:spPr>
          <a:solidFill>
            <a:schemeClr val="accent4">
              <a:shade val="80000"/>
            </a:schemeClr>
          </a:solidFill>
          <a:ln w="19050">
            <a:solidFill>
              <a:schemeClr val="lt1"/>
            </a:solidFill>
          </a:ln>
          <a:effectLst/>
        </c:spPr>
      </c:pivotFmt>
      <c:pivotFmt>
        <c:idx val="35"/>
        <c:spPr>
          <a:solidFill>
            <a:schemeClr val="accent4">
              <a:shade val="93000"/>
            </a:schemeClr>
          </a:solidFill>
          <a:ln w="19050">
            <a:solidFill>
              <a:schemeClr val="lt1"/>
            </a:solidFill>
          </a:ln>
          <a:effectLst/>
        </c:spPr>
      </c:pivotFmt>
      <c:pivotFmt>
        <c:idx val="36"/>
        <c:spPr>
          <a:solidFill>
            <a:schemeClr val="accent4">
              <a:tint val="94000"/>
            </a:schemeClr>
          </a:solidFill>
          <a:ln w="19050">
            <a:solidFill>
              <a:schemeClr val="lt1"/>
            </a:solidFill>
          </a:ln>
          <a:effectLst/>
        </c:spPr>
      </c:pivotFmt>
      <c:pivotFmt>
        <c:idx val="37"/>
        <c:spPr>
          <a:solidFill>
            <a:schemeClr val="accent4">
              <a:tint val="81000"/>
            </a:schemeClr>
          </a:solidFill>
          <a:ln w="19050">
            <a:solidFill>
              <a:schemeClr val="lt1"/>
            </a:solidFill>
          </a:ln>
          <a:effectLst/>
        </c:spPr>
      </c:pivotFmt>
      <c:pivotFmt>
        <c:idx val="38"/>
        <c:spPr>
          <a:solidFill>
            <a:schemeClr val="accent4">
              <a:tint val="69000"/>
            </a:schemeClr>
          </a:solidFill>
          <a:ln w="19050">
            <a:solidFill>
              <a:schemeClr val="lt1"/>
            </a:solidFill>
          </a:ln>
          <a:effectLst/>
        </c:spPr>
      </c:pivotFmt>
      <c:pivotFmt>
        <c:idx val="39"/>
        <c:spPr>
          <a:solidFill>
            <a:schemeClr val="accent4">
              <a:tint val="56000"/>
            </a:schemeClr>
          </a:solidFill>
          <a:ln w="19050">
            <a:solidFill>
              <a:schemeClr val="lt1"/>
            </a:solidFill>
          </a:ln>
          <a:effectLst/>
        </c:spPr>
      </c:pivotFmt>
      <c:pivotFmt>
        <c:idx val="40"/>
        <c:spPr>
          <a:solidFill>
            <a:schemeClr val="accent4">
              <a:tint val="43000"/>
            </a:schemeClr>
          </a:solidFill>
          <a:ln w="19050">
            <a:solidFill>
              <a:schemeClr val="lt1"/>
            </a:solidFill>
          </a:ln>
          <a:effectLst/>
        </c:spPr>
      </c:pivotFmt>
      <c:pivotFmt>
        <c:idx val="4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hade val="42000"/>
            </a:schemeClr>
          </a:solidFill>
          <a:ln w="19050">
            <a:solidFill>
              <a:schemeClr val="lt1"/>
            </a:solidFill>
          </a:ln>
          <a:effectLst/>
        </c:spPr>
      </c:pivotFmt>
      <c:pivotFmt>
        <c:idx val="43"/>
        <c:spPr>
          <a:solidFill>
            <a:schemeClr val="accent4">
              <a:shade val="55000"/>
            </a:schemeClr>
          </a:solidFill>
          <a:ln w="19050">
            <a:solidFill>
              <a:schemeClr val="lt1"/>
            </a:solidFill>
          </a:ln>
          <a:effectLst/>
        </c:spPr>
      </c:pivotFmt>
      <c:pivotFmt>
        <c:idx val="44"/>
        <c:spPr>
          <a:solidFill>
            <a:schemeClr val="accent4">
              <a:shade val="68000"/>
            </a:schemeClr>
          </a:solidFill>
          <a:ln w="19050">
            <a:solidFill>
              <a:schemeClr val="lt1"/>
            </a:solidFill>
          </a:ln>
          <a:effectLst/>
        </c:spPr>
      </c:pivotFmt>
      <c:pivotFmt>
        <c:idx val="45"/>
        <c:spPr>
          <a:solidFill>
            <a:schemeClr val="accent4">
              <a:shade val="80000"/>
            </a:schemeClr>
          </a:solidFill>
          <a:ln w="19050">
            <a:solidFill>
              <a:schemeClr val="lt1"/>
            </a:solidFill>
          </a:ln>
          <a:effectLst/>
        </c:spPr>
      </c:pivotFmt>
      <c:pivotFmt>
        <c:idx val="46"/>
        <c:spPr>
          <a:solidFill>
            <a:schemeClr val="accent4">
              <a:shade val="93000"/>
            </a:schemeClr>
          </a:solidFill>
          <a:ln w="19050">
            <a:solidFill>
              <a:schemeClr val="lt1"/>
            </a:solidFill>
          </a:ln>
          <a:effectLst/>
        </c:spPr>
      </c:pivotFmt>
      <c:pivotFmt>
        <c:idx val="47"/>
        <c:spPr>
          <a:solidFill>
            <a:schemeClr val="accent4">
              <a:tint val="94000"/>
            </a:schemeClr>
          </a:solidFill>
          <a:ln w="19050">
            <a:solidFill>
              <a:schemeClr val="lt1"/>
            </a:solidFill>
          </a:ln>
          <a:effectLst/>
        </c:spPr>
      </c:pivotFmt>
      <c:pivotFmt>
        <c:idx val="48"/>
        <c:spPr>
          <a:solidFill>
            <a:schemeClr val="accent4">
              <a:tint val="81000"/>
            </a:schemeClr>
          </a:solidFill>
          <a:ln w="19050">
            <a:solidFill>
              <a:schemeClr val="lt1"/>
            </a:solidFill>
          </a:ln>
          <a:effectLst/>
        </c:spPr>
      </c:pivotFmt>
      <c:pivotFmt>
        <c:idx val="49"/>
        <c:spPr>
          <a:solidFill>
            <a:schemeClr val="accent4">
              <a:tint val="69000"/>
            </a:schemeClr>
          </a:solidFill>
          <a:ln w="19050">
            <a:solidFill>
              <a:schemeClr val="lt1"/>
            </a:solidFill>
          </a:ln>
          <a:effectLst/>
        </c:spPr>
      </c:pivotFmt>
      <c:pivotFmt>
        <c:idx val="50"/>
        <c:spPr>
          <a:solidFill>
            <a:schemeClr val="accent4">
              <a:tint val="56000"/>
            </a:schemeClr>
          </a:solidFill>
          <a:ln w="19050">
            <a:solidFill>
              <a:schemeClr val="lt1"/>
            </a:solidFill>
          </a:ln>
          <a:effectLst/>
        </c:spPr>
      </c:pivotFmt>
      <c:pivotFmt>
        <c:idx val="51"/>
        <c:spPr>
          <a:solidFill>
            <a:schemeClr val="accent4">
              <a:tint val="43000"/>
            </a:schemeClr>
          </a:solidFill>
          <a:ln w="19050">
            <a:solidFill>
              <a:schemeClr val="lt1"/>
            </a:solidFill>
          </a:ln>
          <a:effectLst/>
        </c:spPr>
      </c:pivotFmt>
      <c:pivotFmt>
        <c:idx val="5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4">
              <a:shade val="42000"/>
            </a:schemeClr>
          </a:solidFill>
          <a:ln w="19050">
            <a:solidFill>
              <a:schemeClr val="lt1"/>
            </a:solidFill>
          </a:ln>
          <a:effectLst/>
        </c:spPr>
      </c:pivotFmt>
      <c:pivotFmt>
        <c:idx val="54"/>
        <c:spPr>
          <a:solidFill>
            <a:schemeClr val="accent4">
              <a:shade val="55000"/>
            </a:schemeClr>
          </a:solidFill>
          <a:ln w="19050">
            <a:solidFill>
              <a:schemeClr val="lt1"/>
            </a:solidFill>
          </a:ln>
          <a:effectLst/>
        </c:spPr>
      </c:pivotFmt>
      <c:pivotFmt>
        <c:idx val="55"/>
        <c:spPr>
          <a:solidFill>
            <a:schemeClr val="accent4">
              <a:shade val="68000"/>
            </a:schemeClr>
          </a:solidFill>
          <a:ln w="19050">
            <a:solidFill>
              <a:schemeClr val="lt1"/>
            </a:solidFill>
          </a:ln>
          <a:effectLst/>
        </c:spPr>
      </c:pivotFmt>
      <c:pivotFmt>
        <c:idx val="56"/>
        <c:spPr>
          <a:solidFill>
            <a:schemeClr val="accent4">
              <a:shade val="80000"/>
            </a:schemeClr>
          </a:solidFill>
          <a:ln w="19050">
            <a:solidFill>
              <a:schemeClr val="lt1"/>
            </a:solidFill>
          </a:ln>
          <a:effectLst/>
        </c:spPr>
      </c:pivotFmt>
      <c:pivotFmt>
        <c:idx val="57"/>
        <c:spPr>
          <a:solidFill>
            <a:schemeClr val="accent4">
              <a:shade val="93000"/>
            </a:schemeClr>
          </a:solidFill>
          <a:ln w="19050">
            <a:solidFill>
              <a:schemeClr val="lt1"/>
            </a:solidFill>
          </a:ln>
          <a:effectLst/>
        </c:spPr>
      </c:pivotFmt>
      <c:pivotFmt>
        <c:idx val="58"/>
        <c:spPr>
          <a:solidFill>
            <a:schemeClr val="accent4">
              <a:tint val="94000"/>
            </a:schemeClr>
          </a:solidFill>
          <a:ln w="19050">
            <a:solidFill>
              <a:schemeClr val="lt1"/>
            </a:solidFill>
          </a:ln>
          <a:effectLst/>
        </c:spPr>
      </c:pivotFmt>
      <c:pivotFmt>
        <c:idx val="59"/>
        <c:spPr>
          <a:solidFill>
            <a:schemeClr val="accent4">
              <a:tint val="81000"/>
            </a:schemeClr>
          </a:solidFill>
          <a:ln w="19050">
            <a:solidFill>
              <a:schemeClr val="lt1"/>
            </a:solidFill>
          </a:ln>
          <a:effectLst/>
        </c:spPr>
      </c:pivotFmt>
      <c:pivotFmt>
        <c:idx val="60"/>
        <c:spPr>
          <a:solidFill>
            <a:schemeClr val="accent4">
              <a:tint val="69000"/>
            </a:schemeClr>
          </a:solidFill>
          <a:ln w="19050">
            <a:solidFill>
              <a:schemeClr val="lt1"/>
            </a:solidFill>
          </a:ln>
          <a:effectLst/>
        </c:spPr>
      </c:pivotFmt>
      <c:pivotFmt>
        <c:idx val="61"/>
        <c:spPr>
          <a:solidFill>
            <a:schemeClr val="accent4">
              <a:tint val="56000"/>
            </a:schemeClr>
          </a:solidFill>
          <a:ln w="19050">
            <a:solidFill>
              <a:schemeClr val="lt1"/>
            </a:solidFill>
          </a:ln>
          <a:effectLst/>
        </c:spPr>
      </c:pivotFmt>
      <c:pivotFmt>
        <c:idx val="62"/>
        <c:spPr>
          <a:solidFill>
            <a:schemeClr val="accent4">
              <a:tint val="43000"/>
            </a:schemeClr>
          </a:solidFill>
          <a:ln w="19050">
            <a:solidFill>
              <a:schemeClr val="lt1"/>
            </a:solidFill>
          </a:ln>
          <a:effectLst/>
        </c:spPr>
      </c:pivotFmt>
      <c:pivotFmt>
        <c:idx val="6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4"/>
        <c:spPr>
          <a:solidFill>
            <a:schemeClr val="accent4">
              <a:shade val="42000"/>
            </a:schemeClr>
          </a:solidFill>
          <a:ln w="19050">
            <a:solidFill>
              <a:schemeClr val="lt1"/>
            </a:solidFill>
          </a:ln>
          <a:effectLst/>
        </c:spPr>
      </c:pivotFmt>
      <c:pivotFmt>
        <c:idx val="65"/>
        <c:spPr>
          <a:solidFill>
            <a:schemeClr val="accent4">
              <a:shade val="55000"/>
            </a:schemeClr>
          </a:solidFill>
          <a:ln w="19050">
            <a:solidFill>
              <a:schemeClr val="lt1"/>
            </a:solidFill>
          </a:ln>
          <a:effectLst/>
        </c:spPr>
      </c:pivotFmt>
      <c:pivotFmt>
        <c:idx val="66"/>
        <c:spPr>
          <a:solidFill>
            <a:schemeClr val="accent4">
              <a:shade val="68000"/>
            </a:schemeClr>
          </a:solidFill>
          <a:ln w="19050">
            <a:solidFill>
              <a:schemeClr val="lt1"/>
            </a:solidFill>
          </a:ln>
          <a:effectLst/>
        </c:spPr>
      </c:pivotFmt>
      <c:pivotFmt>
        <c:idx val="67"/>
        <c:spPr>
          <a:solidFill>
            <a:schemeClr val="accent4">
              <a:shade val="80000"/>
            </a:schemeClr>
          </a:solidFill>
          <a:ln w="19050">
            <a:solidFill>
              <a:schemeClr val="lt1"/>
            </a:solidFill>
          </a:ln>
          <a:effectLst/>
        </c:spPr>
      </c:pivotFmt>
      <c:pivotFmt>
        <c:idx val="68"/>
        <c:spPr>
          <a:solidFill>
            <a:schemeClr val="accent4">
              <a:shade val="93000"/>
            </a:schemeClr>
          </a:solidFill>
          <a:ln w="19050">
            <a:solidFill>
              <a:schemeClr val="lt1"/>
            </a:solidFill>
          </a:ln>
          <a:effectLst/>
        </c:spPr>
      </c:pivotFmt>
      <c:pivotFmt>
        <c:idx val="69"/>
        <c:spPr>
          <a:solidFill>
            <a:schemeClr val="accent4">
              <a:tint val="94000"/>
            </a:schemeClr>
          </a:solidFill>
          <a:ln w="19050">
            <a:solidFill>
              <a:schemeClr val="lt1"/>
            </a:solidFill>
          </a:ln>
          <a:effectLst/>
        </c:spPr>
      </c:pivotFmt>
      <c:pivotFmt>
        <c:idx val="70"/>
        <c:spPr>
          <a:solidFill>
            <a:schemeClr val="accent4">
              <a:tint val="81000"/>
            </a:schemeClr>
          </a:solidFill>
          <a:ln w="19050">
            <a:solidFill>
              <a:schemeClr val="lt1"/>
            </a:solidFill>
          </a:ln>
          <a:effectLst/>
        </c:spPr>
      </c:pivotFmt>
      <c:pivotFmt>
        <c:idx val="71"/>
        <c:spPr>
          <a:solidFill>
            <a:schemeClr val="accent4">
              <a:tint val="69000"/>
            </a:schemeClr>
          </a:solidFill>
          <a:ln w="19050">
            <a:solidFill>
              <a:schemeClr val="lt1"/>
            </a:solidFill>
          </a:ln>
          <a:effectLst/>
        </c:spPr>
      </c:pivotFmt>
      <c:pivotFmt>
        <c:idx val="72"/>
        <c:spPr>
          <a:solidFill>
            <a:schemeClr val="accent4">
              <a:tint val="56000"/>
            </a:schemeClr>
          </a:solidFill>
          <a:ln w="19050">
            <a:solidFill>
              <a:schemeClr val="lt1"/>
            </a:solidFill>
          </a:ln>
          <a:effectLst/>
        </c:spPr>
      </c:pivotFmt>
      <c:pivotFmt>
        <c:idx val="73"/>
        <c:spPr>
          <a:solidFill>
            <a:schemeClr val="accent4">
              <a:tint val="43000"/>
            </a:schemeClr>
          </a:solidFill>
          <a:ln w="19050">
            <a:solidFill>
              <a:schemeClr val="lt1"/>
            </a:solidFill>
          </a:ln>
          <a:effectLst/>
        </c:spPr>
      </c:pivotFmt>
      <c:pivotFmt>
        <c:idx val="7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4">
              <a:shade val="42000"/>
            </a:schemeClr>
          </a:solidFill>
          <a:ln w="19050">
            <a:solidFill>
              <a:schemeClr val="lt1"/>
            </a:solidFill>
          </a:ln>
          <a:effectLst/>
        </c:spPr>
      </c:pivotFmt>
      <c:pivotFmt>
        <c:idx val="76"/>
        <c:spPr>
          <a:solidFill>
            <a:schemeClr val="accent4">
              <a:shade val="55000"/>
            </a:schemeClr>
          </a:solidFill>
          <a:ln w="19050">
            <a:solidFill>
              <a:schemeClr val="lt1"/>
            </a:solidFill>
          </a:ln>
          <a:effectLst/>
        </c:spPr>
      </c:pivotFmt>
      <c:pivotFmt>
        <c:idx val="77"/>
        <c:spPr>
          <a:solidFill>
            <a:schemeClr val="accent4">
              <a:shade val="68000"/>
            </a:schemeClr>
          </a:solidFill>
          <a:ln w="19050">
            <a:solidFill>
              <a:schemeClr val="lt1"/>
            </a:solidFill>
          </a:ln>
          <a:effectLst/>
        </c:spPr>
      </c:pivotFmt>
      <c:pivotFmt>
        <c:idx val="78"/>
        <c:spPr>
          <a:solidFill>
            <a:schemeClr val="accent4">
              <a:shade val="80000"/>
            </a:schemeClr>
          </a:solidFill>
          <a:ln w="19050">
            <a:solidFill>
              <a:schemeClr val="lt1"/>
            </a:solidFill>
          </a:ln>
          <a:effectLst/>
        </c:spPr>
      </c:pivotFmt>
      <c:pivotFmt>
        <c:idx val="79"/>
        <c:spPr>
          <a:solidFill>
            <a:schemeClr val="accent4">
              <a:shade val="93000"/>
            </a:schemeClr>
          </a:solidFill>
          <a:ln w="19050">
            <a:solidFill>
              <a:schemeClr val="lt1"/>
            </a:solidFill>
          </a:ln>
          <a:effectLst/>
        </c:spPr>
      </c:pivotFmt>
      <c:pivotFmt>
        <c:idx val="80"/>
        <c:spPr>
          <a:solidFill>
            <a:schemeClr val="accent4">
              <a:tint val="94000"/>
            </a:schemeClr>
          </a:solidFill>
          <a:ln w="19050">
            <a:solidFill>
              <a:schemeClr val="lt1"/>
            </a:solidFill>
          </a:ln>
          <a:effectLst/>
        </c:spPr>
      </c:pivotFmt>
      <c:pivotFmt>
        <c:idx val="81"/>
        <c:spPr>
          <a:solidFill>
            <a:schemeClr val="accent4">
              <a:tint val="81000"/>
            </a:schemeClr>
          </a:solidFill>
          <a:ln w="19050">
            <a:solidFill>
              <a:schemeClr val="lt1"/>
            </a:solidFill>
          </a:ln>
          <a:effectLst/>
        </c:spPr>
      </c:pivotFmt>
      <c:pivotFmt>
        <c:idx val="82"/>
        <c:spPr>
          <a:solidFill>
            <a:schemeClr val="accent4">
              <a:tint val="69000"/>
            </a:schemeClr>
          </a:solidFill>
          <a:ln w="19050">
            <a:solidFill>
              <a:schemeClr val="lt1"/>
            </a:solidFill>
          </a:ln>
          <a:effectLst/>
        </c:spPr>
      </c:pivotFmt>
      <c:pivotFmt>
        <c:idx val="83"/>
        <c:spPr>
          <a:solidFill>
            <a:schemeClr val="accent4">
              <a:tint val="56000"/>
            </a:schemeClr>
          </a:solidFill>
          <a:ln w="19050">
            <a:solidFill>
              <a:schemeClr val="lt1"/>
            </a:solidFill>
          </a:ln>
          <a:effectLst/>
        </c:spPr>
      </c:pivotFmt>
      <c:pivotFmt>
        <c:idx val="84"/>
        <c:spPr>
          <a:solidFill>
            <a:schemeClr val="accent4">
              <a:tint val="43000"/>
            </a:schemeClr>
          </a:solidFill>
          <a:ln w="19050">
            <a:solidFill>
              <a:schemeClr val="lt1"/>
            </a:solidFill>
          </a:ln>
          <a:effectLst/>
        </c:spPr>
      </c:pivotFmt>
      <c:pivotFmt>
        <c:idx val="8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CHARTS!$B$81</c:f>
              <c:strCache>
                <c:ptCount val="1"/>
                <c:pt idx="0">
                  <c:v>Total</c:v>
                </c:pt>
              </c:strCache>
            </c:strRef>
          </c:tx>
          <c:dPt>
            <c:idx val="0"/>
            <c:bubble3D val="0"/>
            <c:extLst>
              <c:ext xmlns:c16="http://schemas.microsoft.com/office/drawing/2014/chart" uri="{C3380CC4-5D6E-409C-BE32-E72D297353CC}">
                <c16:uniqueId val="{00000000-247F-4D56-A001-3760BE1C2E25}"/>
              </c:ext>
            </c:extLst>
          </c:dPt>
          <c:dPt>
            <c:idx val="1"/>
            <c:bubble3D val="0"/>
            <c:extLst>
              <c:ext xmlns:c16="http://schemas.microsoft.com/office/drawing/2014/chart" uri="{C3380CC4-5D6E-409C-BE32-E72D297353CC}">
                <c16:uniqueId val="{00000001-247F-4D56-A001-3760BE1C2E25}"/>
              </c:ext>
            </c:extLst>
          </c:dPt>
          <c:dPt>
            <c:idx val="2"/>
            <c:bubble3D val="0"/>
            <c:extLst>
              <c:ext xmlns:c16="http://schemas.microsoft.com/office/drawing/2014/chart" uri="{C3380CC4-5D6E-409C-BE32-E72D297353CC}">
                <c16:uniqueId val="{00000002-247F-4D56-A001-3760BE1C2E25}"/>
              </c:ext>
            </c:extLst>
          </c:dPt>
          <c:dPt>
            <c:idx val="3"/>
            <c:bubble3D val="0"/>
            <c:extLst>
              <c:ext xmlns:c16="http://schemas.microsoft.com/office/drawing/2014/chart" uri="{C3380CC4-5D6E-409C-BE32-E72D297353CC}">
                <c16:uniqueId val="{00000003-247F-4D56-A001-3760BE1C2E25}"/>
              </c:ext>
            </c:extLst>
          </c:dPt>
          <c:dPt>
            <c:idx val="4"/>
            <c:bubble3D val="0"/>
            <c:extLst>
              <c:ext xmlns:c16="http://schemas.microsoft.com/office/drawing/2014/chart" uri="{C3380CC4-5D6E-409C-BE32-E72D297353CC}">
                <c16:uniqueId val="{00000004-247F-4D56-A001-3760BE1C2E25}"/>
              </c:ext>
            </c:extLst>
          </c:dPt>
          <c:dPt>
            <c:idx val="5"/>
            <c:bubble3D val="0"/>
            <c:extLst>
              <c:ext xmlns:c16="http://schemas.microsoft.com/office/drawing/2014/chart" uri="{C3380CC4-5D6E-409C-BE32-E72D297353CC}">
                <c16:uniqueId val="{00000005-247F-4D56-A001-3760BE1C2E25}"/>
              </c:ext>
            </c:extLst>
          </c:dPt>
          <c:dPt>
            <c:idx val="6"/>
            <c:bubble3D val="0"/>
            <c:extLst>
              <c:ext xmlns:c16="http://schemas.microsoft.com/office/drawing/2014/chart" uri="{C3380CC4-5D6E-409C-BE32-E72D297353CC}">
                <c16:uniqueId val="{00000006-247F-4D56-A001-3760BE1C2E25}"/>
              </c:ext>
            </c:extLst>
          </c:dPt>
          <c:dPt>
            <c:idx val="7"/>
            <c:bubble3D val="0"/>
            <c:extLst>
              <c:ext xmlns:c16="http://schemas.microsoft.com/office/drawing/2014/chart" uri="{C3380CC4-5D6E-409C-BE32-E72D297353CC}">
                <c16:uniqueId val="{00000007-247F-4D56-A001-3760BE1C2E25}"/>
              </c:ext>
            </c:extLst>
          </c:dPt>
          <c:dPt>
            <c:idx val="8"/>
            <c:bubble3D val="0"/>
            <c:extLst>
              <c:ext xmlns:c16="http://schemas.microsoft.com/office/drawing/2014/chart" uri="{C3380CC4-5D6E-409C-BE32-E72D297353CC}">
                <c16:uniqueId val="{00000008-247F-4D56-A001-3760BE1C2E25}"/>
              </c:ext>
            </c:extLst>
          </c:dPt>
          <c:dPt>
            <c:idx val="9"/>
            <c:bubble3D val="0"/>
            <c:extLst>
              <c:ext xmlns:c16="http://schemas.microsoft.com/office/drawing/2014/chart" uri="{C3380CC4-5D6E-409C-BE32-E72D297353CC}">
                <c16:uniqueId val="{00000009-247F-4D56-A001-3760BE1C2E25}"/>
              </c:ext>
            </c:extLst>
          </c:dPt>
          <c:dPt>
            <c:idx val="10"/>
            <c:bubble3D val="0"/>
            <c:extLst>
              <c:ext xmlns:c16="http://schemas.microsoft.com/office/drawing/2014/chart" uri="{C3380CC4-5D6E-409C-BE32-E72D297353CC}">
                <c16:uniqueId val="{0000000A-247F-4D56-A001-3760BE1C2E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CHARTS!$A$82:$A$92</c:f>
              <c:strCache>
                <c:ptCount val="10"/>
                <c:pt idx="0">
                  <c:v>Gran Turismo</c:v>
                </c:pt>
                <c:pt idx="1">
                  <c:v>Gran Turismo 2</c:v>
                </c:pt>
                <c:pt idx="2">
                  <c:v>Gran Turismo 3: A-Spec</c:v>
                </c:pt>
                <c:pt idx="3">
                  <c:v>Mario Kart 64</c:v>
                </c:pt>
                <c:pt idx="4">
                  <c:v>Mario Kart 7</c:v>
                </c:pt>
                <c:pt idx="5">
                  <c:v>Mario Kart DS</c:v>
                </c:pt>
                <c:pt idx="6">
                  <c:v>Mario Kart Wii</c:v>
                </c:pt>
                <c:pt idx="7">
                  <c:v>Mario Kart: Double Dash!!</c:v>
                </c:pt>
                <c:pt idx="8">
                  <c:v>Need for Speed Underground 2</c:v>
                </c:pt>
                <c:pt idx="9">
                  <c:v>Super Mario Kart</c:v>
                </c:pt>
              </c:strCache>
            </c:strRef>
          </c:cat>
          <c:val>
            <c:numRef>
              <c:f>CHARTS!$B$82:$B$92</c:f>
              <c:numCache>
                <c:formatCode>General</c:formatCode>
                <c:ptCount val="10"/>
                <c:pt idx="0">
                  <c:v>4.0199999999999996</c:v>
                </c:pt>
                <c:pt idx="1">
                  <c:v>3.88</c:v>
                </c:pt>
                <c:pt idx="2">
                  <c:v>6.85</c:v>
                </c:pt>
                <c:pt idx="3">
                  <c:v>5.55</c:v>
                </c:pt>
                <c:pt idx="4">
                  <c:v>4.74</c:v>
                </c:pt>
                <c:pt idx="5">
                  <c:v>9.81</c:v>
                </c:pt>
                <c:pt idx="6">
                  <c:v>15.85</c:v>
                </c:pt>
                <c:pt idx="7">
                  <c:v>4.12</c:v>
                </c:pt>
                <c:pt idx="8">
                  <c:v>4.09</c:v>
                </c:pt>
                <c:pt idx="9">
                  <c:v>3.54</c:v>
                </c:pt>
              </c:numCache>
            </c:numRef>
          </c:val>
          <c:extLst>
            <c:ext xmlns:c16="http://schemas.microsoft.com/office/drawing/2014/chart" uri="{C3380CC4-5D6E-409C-BE32-E72D297353CC}">
              <c16:uniqueId val="{0000000B-247F-4D56-A001-3760BE1C2E25}"/>
            </c:ext>
          </c:extLst>
        </c:ser>
        <c:dLbls>
          <c:showLegendKey val="0"/>
          <c:showVal val="1"/>
          <c:showCatName val="0"/>
          <c:showSerName val="0"/>
          <c:showPercent val="0"/>
          <c:showBubbleSize val="0"/>
          <c:showLeaderLines val="1"/>
        </c:dLbls>
        <c:firstSliceAng val="0"/>
        <c:holeSize val="75"/>
      </c:doughnutChart>
    </c:plotArea>
    <c:legend>
      <c:legendPos val="r"/>
      <c:overlay val="0"/>
      <c:spPr>
        <a:ln>
          <a:noFill/>
        </a:ln>
        <a:effectLst>
          <a:outerShdw blurRad="50800" dist="50800" dir="5400000" algn="ctr" rotWithShape="0">
            <a:schemeClr val="accent5">
              <a:lumMod val="50000"/>
            </a:schemeClr>
          </a:outerShdw>
        </a:effectLst>
      </c:spPr>
      <c:txPr>
        <a:bodyPr rot="0" vert="horz" anchor="ctr" anchorCtr="0"/>
        <a:lstStyle/>
        <a:p>
          <a:pPr>
            <a:defRPr>
              <a:ln>
                <a:noFill/>
              </a:ln>
              <a:solidFill>
                <a:schemeClr val="bg1"/>
              </a:solidFill>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[Videogamesdata1.xlsx]CHARTS!PivotTable7</c:name>
    <c:fmtId val="23"/>
  </c:pivotSource>
  <c:chart>
    <c:autoTitleDeleted val="1"/>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CHARTS!$B$97</c:f>
              <c:strCache>
                <c:ptCount val="1"/>
                <c:pt idx="0">
                  <c:v>Total</c:v>
                </c:pt>
              </c:strCache>
            </c:strRef>
          </c:tx>
          <c:spPr>
            <a:solidFill>
              <a:schemeClr val="accent4"/>
            </a:solidFill>
            <a:ln>
              <a:noFill/>
            </a:ln>
            <a:effectLst/>
            <a:sp3d/>
          </c:spPr>
          <c:invertIfNegative val="0"/>
          <c:cat>
            <c:strRef>
              <c:f>CHARTS!$A$98:$A$108</c:f>
              <c:strCache>
                <c:ptCount val="10"/>
                <c:pt idx="0">
                  <c:v>Gran Turismo</c:v>
                </c:pt>
                <c:pt idx="1">
                  <c:v>Gran Turismo 2</c:v>
                </c:pt>
                <c:pt idx="2">
                  <c:v>Gran Turismo 3: A-Spec</c:v>
                </c:pt>
                <c:pt idx="3">
                  <c:v>Gran Turismo 5</c:v>
                </c:pt>
                <c:pt idx="4">
                  <c:v>Mario Kart 7</c:v>
                </c:pt>
                <c:pt idx="5">
                  <c:v>Mario Kart DS</c:v>
                </c:pt>
                <c:pt idx="6">
                  <c:v>Mario Kart Wii</c:v>
                </c:pt>
                <c:pt idx="7">
                  <c:v>Need for Speed Underground</c:v>
                </c:pt>
                <c:pt idx="8">
                  <c:v>Need for Speed Underground 2</c:v>
                </c:pt>
                <c:pt idx="9">
                  <c:v>Need for Speed: Most Wanted</c:v>
                </c:pt>
              </c:strCache>
            </c:strRef>
          </c:cat>
          <c:val>
            <c:numRef>
              <c:f>CHARTS!$B$98:$B$108</c:f>
              <c:numCache>
                <c:formatCode>General</c:formatCode>
                <c:ptCount val="10"/>
                <c:pt idx="0">
                  <c:v>3.87</c:v>
                </c:pt>
                <c:pt idx="1">
                  <c:v>3.42</c:v>
                </c:pt>
                <c:pt idx="2">
                  <c:v>5.09</c:v>
                </c:pt>
                <c:pt idx="3">
                  <c:v>4.88</c:v>
                </c:pt>
                <c:pt idx="4">
                  <c:v>3.91</c:v>
                </c:pt>
                <c:pt idx="5">
                  <c:v>7.57</c:v>
                </c:pt>
                <c:pt idx="6">
                  <c:v>12.88</c:v>
                </c:pt>
                <c:pt idx="7">
                  <c:v>2.83</c:v>
                </c:pt>
                <c:pt idx="8">
                  <c:v>3.8200000000000003</c:v>
                </c:pt>
                <c:pt idx="9">
                  <c:v>3.3</c:v>
                </c:pt>
              </c:numCache>
            </c:numRef>
          </c:val>
          <c:extLst>
            <c:ext xmlns:c16="http://schemas.microsoft.com/office/drawing/2014/chart" uri="{C3380CC4-5D6E-409C-BE32-E72D297353CC}">
              <c16:uniqueId val="{00000000-4501-4FF4-ADEE-3485FC86423B}"/>
            </c:ext>
          </c:extLst>
        </c:ser>
        <c:dLbls>
          <c:showLegendKey val="0"/>
          <c:showVal val="0"/>
          <c:showCatName val="0"/>
          <c:showSerName val="0"/>
          <c:showPercent val="0"/>
          <c:showBubbleSize val="0"/>
        </c:dLbls>
        <c:gapWidth val="150"/>
        <c:shape val="box"/>
        <c:axId val="510967872"/>
        <c:axId val="510978912"/>
        <c:axId val="0"/>
      </c:bar3DChart>
      <c:catAx>
        <c:axId val="510967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0978912"/>
        <c:crosses val="autoZero"/>
        <c:auto val="1"/>
        <c:lblAlgn val="ctr"/>
        <c:lblOffset val="100"/>
        <c:noMultiLvlLbl val="0"/>
      </c:catAx>
      <c:valAx>
        <c:axId val="510978912"/>
        <c:scaling>
          <c:orientation val="minMax"/>
        </c:scaling>
        <c:delete val="1"/>
        <c:axPos val="b"/>
        <c:numFmt formatCode="General" sourceLinked="1"/>
        <c:majorTickMark val="none"/>
        <c:minorTickMark val="none"/>
        <c:tickLblPos val="nextTo"/>
        <c:crossAx val="51096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32D22632-0683-481A-BAE2-8C3E5687A45C}">
          <cx:tx>
            <cx:txData>
              <cx:f>_xlchart.v1.1</cx:f>
              <cx:v>Sum of Global_Sales</cx:v>
            </cx:txData>
          </cx:tx>
          <cx:dataLabels pos="inEnd">
            <cx:visibility seriesName="0" categoryName="1" value="0"/>
          </cx:dataLabels>
          <cx:dataId val="0"/>
          <cx:layoutPr>
            <cx:parentLabelLayout val="overlapping"/>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1F7DCB68-E055-4807-B91A-E6A8A67C6833}">
          <cx:tx>
            <cx:txData>
              <cx:f>_xlchart.v1.4</cx:f>
              <cx:v>Sum of JP_Sales</cx:v>
            </cx:txData>
          </cx:tx>
          <cx:dataLabels pos="inEnd">
            <cx:visibility seriesName="0" categoryName="1" value="0"/>
          </cx:dataLabels>
          <cx:dataId val="0"/>
          <cx:layoutPr>
            <cx:parentLabelLayout val="overlapping"/>
          </cx:layoutPr>
        </cx:series>
      </cx:plotAreaRegion>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1F7DCB68-E055-4807-B91A-E6A8A67C6833}">
          <cx:tx>
            <cx:txData>
              <cx:f>_xlchart.v1.7</cx:f>
              <cx:v>Sum of JP_Sales</cx:v>
            </cx:txData>
          </cx:tx>
          <cx:dataLabels pos="inEnd">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image" Target="../media/image4.svg"/><Relationship Id="rId4" Type="http://schemas.openxmlformats.org/officeDocument/2006/relationships/chart" Target="../charts/chart9.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298009</xdr:colOff>
      <xdr:row>2</xdr:row>
      <xdr:rowOff>84499</xdr:rowOff>
    </xdr:from>
    <xdr:to>
      <xdr:col>7</xdr:col>
      <xdr:colOff>116940</xdr:colOff>
      <xdr:row>17</xdr:row>
      <xdr:rowOff>111660</xdr:rowOff>
    </xdr:to>
    <xdr:graphicFrame macro="">
      <xdr:nvGraphicFramePr>
        <xdr:cNvPr id="2" name="Chart 1">
          <a:extLst>
            <a:ext uri="{FF2B5EF4-FFF2-40B4-BE49-F238E27FC236}">
              <a16:creationId xmlns:a16="http://schemas.microsoft.com/office/drawing/2014/main" id="{B3BDF485-20E1-B3BC-A634-BE216844C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249047</xdr:colOff>
      <xdr:row>5</xdr:row>
      <xdr:rowOff>142138</xdr:rowOff>
    </xdr:from>
    <xdr:to>
      <xdr:col>15</xdr:col>
      <xdr:colOff>229431</xdr:colOff>
      <xdr:row>25</xdr:row>
      <xdr:rowOff>128257</xdr:rowOff>
    </xdr:to>
    <mc:AlternateContent xmlns:mc="http://schemas.openxmlformats.org/markup-compatibility/2006" xmlns:a14="http://schemas.microsoft.com/office/drawing/2010/main">
      <mc:Choice Requires="a14">
        <xdr:graphicFrame macro="">
          <xdr:nvGraphicFramePr>
            <xdr:cNvPr id="4" name="Genre">
              <a:extLst>
                <a:ext uri="{FF2B5EF4-FFF2-40B4-BE49-F238E27FC236}">
                  <a16:creationId xmlns:a16="http://schemas.microsoft.com/office/drawing/2014/main" id="{DF3FCD59-D7F0-9C0E-8E05-BAC79D2E5411}"/>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1354631" y="1047485"/>
              <a:ext cx="1828800" cy="3607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433811</xdr:colOff>
      <xdr:row>20</xdr:row>
      <xdr:rowOff>137311</xdr:rowOff>
    </xdr:from>
    <xdr:to>
      <xdr:col>7</xdr:col>
      <xdr:colOff>252742</xdr:colOff>
      <xdr:row>35</xdr:row>
      <xdr:rowOff>164471</xdr:rowOff>
    </xdr:to>
    <xdr:graphicFrame macro="">
      <xdr:nvGraphicFramePr>
        <xdr:cNvPr id="5" name="Chart 4">
          <a:extLst>
            <a:ext uri="{FF2B5EF4-FFF2-40B4-BE49-F238E27FC236}">
              <a16:creationId xmlns:a16="http://schemas.microsoft.com/office/drawing/2014/main" id="{D025823C-C2B2-57B1-1C1F-E224E8D3B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539435</xdr:colOff>
      <xdr:row>40</xdr:row>
      <xdr:rowOff>61866</xdr:rowOff>
    </xdr:from>
    <xdr:to>
      <xdr:col>7</xdr:col>
      <xdr:colOff>358366</xdr:colOff>
      <xdr:row>55</xdr:row>
      <xdr:rowOff>89026</xdr:rowOff>
    </xdr:to>
    <xdr:graphicFrame macro="">
      <xdr:nvGraphicFramePr>
        <xdr:cNvPr id="9" name="Chart 8">
          <a:extLst>
            <a:ext uri="{FF2B5EF4-FFF2-40B4-BE49-F238E27FC236}">
              <a16:creationId xmlns:a16="http://schemas.microsoft.com/office/drawing/2014/main" id="{C66FABA1-60E5-3ABC-7BD8-0626705BE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509257</xdr:colOff>
      <xdr:row>78</xdr:row>
      <xdr:rowOff>39232</xdr:rowOff>
    </xdr:from>
    <xdr:to>
      <xdr:col>7</xdr:col>
      <xdr:colOff>328188</xdr:colOff>
      <xdr:row>93</xdr:row>
      <xdr:rowOff>66392</xdr:rowOff>
    </xdr:to>
    <xdr:graphicFrame macro="">
      <xdr:nvGraphicFramePr>
        <xdr:cNvPr id="10" name="Chart 9">
          <a:extLst>
            <a:ext uri="{FF2B5EF4-FFF2-40B4-BE49-F238E27FC236}">
              <a16:creationId xmlns:a16="http://schemas.microsoft.com/office/drawing/2014/main" id="{5045995D-333E-6C17-9E1F-98086BC9D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252742</xdr:colOff>
      <xdr:row>95</xdr:row>
      <xdr:rowOff>69410</xdr:rowOff>
    </xdr:from>
    <xdr:to>
      <xdr:col>5</xdr:col>
      <xdr:colOff>109395</xdr:colOff>
      <xdr:row>110</xdr:row>
      <xdr:rowOff>96570</xdr:rowOff>
    </xdr:to>
    <xdr:graphicFrame macro="">
      <xdr:nvGraphicFramePr>
        <xdr:cNvPr id="11" name="Chart 10">
          <a:extLst>
            <a:ext uri="{FF2B5EF4-FFF2-40B4-BE49-F238E27FC236}">
              <a16:creationId xmlns:a16="http://schemas.microsoft.com/office/drawing/2014/main" id="{DBB769F8-FE04-51FD-7833-213B07C17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282920</xdr:colOff>
      <xdr:row>112</xdr:row>
      <xdr:rowOff>144857</xdr:rowOff>
    </xdr:from>
    <xdr:to>
      <xdr:col>5</xdr:col>
      <xdr:colOff>139574</xdr:colOff>
      <xdr:row>127</xdr:row>
      <xdr:rowOff>172017</xdr:rowOff>
    </xdr:to>
    <xdr:graphicFrame macro="">
      <xdr:nvGraphicFramePr>
        <xdr:cNvPr id="13" name="Chart 12">
          <a:extLst>
            <a:ext uri="{FF2B5EF4-FFF2-40B4-BE49-F238E27FC236}">
              <a16:creationId xmlns:a16="http://schemas.microsoft.com/office/drawing/2014/main" id="{6F2CC829-A4B9-E9C2-8AE8-07CD7D92C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313100</xdr:colOff>
      <xdr:row>128</xdr:row>
      <xdr:rowOff>76955</xdr:rowOff>
    </xdr:from>
    <xdr:to>
      <xdr:col>14</xdr:col>
      <xdr:colOff>248970</xdr:colOff>
      <xdr:row>145</xdr:row>
      <xdr:rowOff>165980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098D6AB6-97F2-60A9-DCB8-F1A0DB3F74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011080" y="23485595"/>
              <a:ext cx="5727070" cy="31979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282921</xdr:colOff>
      <xdr:row>30</xdr:row>
      <xdr:rowOff>129766</xdr:rowOff>
    </xdr:from>
    <xdr:to>
      <xdr:col>22</xdr:col>
      <xdr:colOff>275376</xdr:colOff>
      <xdr:row>45</xdr:row>
      <xdr:rowOff>156926</xdr:rowOff>
    </xdr:to>
    <xdr:graphicFrame macro="">
      <xdr:nvGraphicFramePr>
        <xdr:cNvPr id="3" name="Chart 2">
          <a:extLst>
            <a:ext uri="{FF2B5EF4-FFF2-40B4-BE49-F238E27FC236}">
              <a16:creationId xmlns:a16="http://schemas.microsoft.com/office/drawing/2014/main" id="{9EF3D0F6-F214-4D07-920D-9B0D892D3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358366</xdr:colOff>
      <xdr:row>111</xdr:row>
      <xdr:rowOff>84499</xdr:rowOff>
    </xdr:from>
    <xdr:to>
      <xdr:col>21</xdr:col>
      <xdr:colOff>350821</xdr:colOff>
      <xdr:row>126</xdr:row>
      <xdr:rowOff>111659</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6E9F48AA-315A-4524-A4F5-5D85213FA4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683466" y="20384179"/>
              <a:ext cx="4617795" cy="2770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180812</xdr:colOff>
      <xdr:row>4</xdr:row>
      <xdr:rowOff>49480</xdr:rowOff>
    </xdr:from>
    <xdr:to>
      <xdr:col>30</xdr:col>
      <xdr:colOff>328246</xdr:colOff>
      <xdr:row>35</xdr:row>
      <xdr:rowOff>129152</xdr:rowOff>
    </xdr:to>
    <xdr:sp macro="" textlink="">
      <xdr:nvSpPr>
        <xdr:cNvPr id="2" name="Rectangle 1">
          <a:extLst>
            <a:ext uri="{FF2B5EF4-FFF2-40B4-BE49-F238E27FC236}">
              <a16:creationId xmlns:a16="http://schemas.microsoft.com/office/drawing/2014/main" id="{74E42B70-A9F0-4EE1-97CC-DB91A042EDB2}"/>
            </a:ext>
          </a:extLst>
        </xdr:cNvPr>
        <xdr:cNvSpPr/>
      </xdr:nvSpPr>
      <xdr:spPr>
        <a:xfrm>
          <a:off x="5057612" y="799757"/>
          <a:ext cx="13558634" cy="5894318"/>
        </a:xfrm>
        <a:prstGeom prst="rect">
          <a:avLst/>
        </a:prstGeom>
        <a:gradFill>
          <a:gsLst>
            <a:gs pos="0">
              <a:schemeClr val="tx1">
                <a:lumMod val="50000"/>
                <a:lumOff val="50000"/>
                <a:shade val="30000"/>
                <a:satMod val="115000"/>
              </a:schemeClr>
            </a:gs>
            <a:gs pos="50000">
              <a:schemeClr val="tx1">
                <a:lumMod val="50000"/>
                <a:lumOff val="50000"/>
                <a:shade val="67500"/>
                <a:satMod val="115000"/>
              </a:schemeClr>
            </a:gs>
            <a:gs pos="100000">
              <a:schemeClr val="tx1">
                <a:lumMod val="50000"/>
                <a:lumOff val="50000"/>
                <a:shade val="100000"/>
                <a:satMod val="115000"/>
              </a:schemeClr>
            </a:gs>
          </a:gsLst>
          <a:lin ang="162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284135</xdr:colOff>
      <xdr:row>4</xdr:row>
      <xdr:rowOff>146718</xdr:rowOff>
    </xdr:from>
    <xdr:to>
      <xdr:col>30</xdr:col>
      <xdr:colOff>195942</xdr:colOff>
      <xdr:row>7</xdr:row>
      <xdr:rowOff>169578</xdr:rowOff>
    </xdr:to>
    <xdr:sp macro="" textlink="">
      <xdr:nvSpPr>
        <xdr:cNvPr id="3" name="Rectangle: Rounded Corners 2">
          <a:extLst>
            <a:ext uri="{FF2B5EF4-FFF2-40B4-BE49-F238E27FC236}">
              <a16:creationId xmlns:a16="http://schemas.microsoft.com/office/drawing/2014/main" id="{32438079-9619-4505-BD69-58A81445E514}"/>
            </a:ext>
          </a:extLst>
        </xdr:cNvPr>
        <xdr:cNvSpPr/>
      </xdr:nvSpPr>
      <xdr:spPr>
        <a:xfrm>
          <a:off x="5160935" y="886947"/>
          <a:ext cx="13323007" cy="578031"/>
        </a:xfrm>
        <a:prstGeom prst="roundRect">
          <a:avLst/>
        </a:prstGeom>
        <a:solidFill>
          <a:schemeClr val="accent5">
            <a:lumMod val="50000"/>
          </a:schemeClr>
        </a:solidFill>
        <a:ln>
          <a:solidFill>
            <a:schemeClr val="bg1"/>
          </a:solidFill>
        </a:ln>
        <a:effectLst>
          <a:glow rad="101600">
            <a:schemeClr val="accent4">
              <a:lumMod val="50000"/>
              <a:alpha val="60000"/>
            </a:schemeClr>
          </a:glow>
          <a:innerShdw blurRad="63500" dist="50800" dir="8100000">
            <a:prstClr val="black">
              <a:alpha val="50000"/>
            </a:prstClr>
          </a:innerShdw>
        </a:effectLst>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8" algn="l"/>
          <a:r>
            <a:rPr lang="en-IN" sz="2000" b="0">
              <a:solidFill>
                <a:schemeClr val="bg1"/>
              </a:solidFill>
              <a:latin typeface="Bodoni MT Black" panose="02070A03080606020203" pitchFamily="18" charset="0"/>
            </a:rPr>
            <a:t>  </a:t>
          </a:r>
          <a:r>
            <a:rPr lang="en-IN" sz="2000" b="0" baseline="0">
              <a:solidFill>
                <a:schemeClr val="bg1"/>
              </a:solidFill>
              <a:latin typeface="Bodoni MT Black" panose="02070A03080606020203" pitchFamily="18" charset="0"/>
            </a:rPr>
            <a:t> </a:t>
          </a:r>
          <a:r>
            <a:rPr lang="en-IN" sz="2000" b="0">
              <a:solidFill>
                <a:schemeClr val="bg1"/>
              </a:solidFill>
              <a:latin typeface="Bodoni MT Black" panose="02070A03080606020203" pitchFamily="18" charset="0"/>
            </a:rPr>
            <a:t>  </a:t>
          </a:r>
          <a:r>
            <a:rPr lang="en-IN" sz="2400" b="0">
              <a:solidFill>
                <a:schemeClr val="bg1"/>
              </a:solidFill>
              <a:latin typeface="Bodoni MT Black" panose="02070A03080606020203" pitchFamily="18" charset="0"/>
            </a:rPr>
            <a:t>VIDEO GAMES SALES DATA</a:t>
          </a:r>
        </a:p>
      </xdr:txBody>
    </xdr:sp>
    <xdr:clientData/>
  </xdr:twoCellAnchor>
  <xdr:twoCellAnchor>
    <xdr:from>
      <xdr:col>11</xdr:col>
      <xdr:colOff>297051</xdr:colOff>
      <xdr:row>8</xdr:row>
      <xdr:rowOff>62640</xdr:rowOff>
    </xdr:from>
    <xdr:to>
      <xdr:col>15</xdr:col>
      <xdr:colOff>189338</xdr:colOff>
      <xdr:row>21</xdr:row>
      <xdr:rowOff>152013</xdr:rowOff>
    </xdr:to>
    <xdr:sp macro="" textlink="">
      <xdr:nvSpPr>
        <xdr:cNvPr id="4" name="Rectangle 3">
          <a:extLst>
            <a:ext uri="{FF2B5EF4-FFF2-40B4-BE49-F238E27FC236}">
              <a16:creationId xmlns:a16="http://schemas.microsoft.com/office/drawing/2014/main" id="{9843482E-CD24-4CA3-8ECA-B800A74E9C22}"/>
            </a:ext>
          </a:extLst>
        </xdr:cNvPr>
        <xdr:cNvSpPr/>
      </xdr:nvSpPr>
      <xdr:spPr>
        <a:xfrm>
          <a:off x="6974237" y="1509148"/>
          <a:ext cx="2320355" cy="2439950"/>
        </a:xfrm>
        <a:prstGeom prst="rect">
          <a:avLst/>
        </a:prstGeom>
        <a:solidFill>
          <a:schemeClr val="accent5">
            <a:lumMod val="50000"/>
          </a:schemeClr>
        </a:solidFill>
        <a:ln>
          <a:solidFill>
            <a:schemeClr val="bg1"/>
          </a:solidFill>
        </a:ln>
        <a:effectLst>
          <a:glow rad="101600">
            <a:schemeClr val="accent4">
              <a:lumMod val="50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293159</xdr:colOff>
      <xdr:row>22</xdr:row>
      <xdr:rowOff>67936</xdr:rowOff>
    </xdr:from>
    <xdr:to>
      <xdr:col>15</xdr:col>
      <xdr:colOff>205999</xdr:colOff>
      <xdr:row>35</xdr:row>
      <xdr:rowOff>13446</xdr:rowOff>
    </xdr:to>
    <xdr:sp macro="" textlink="">
      <xdr:nvSpPr>
        <xdr:cNvPr id="5" name="Rectangle 4">
          <a:extLst>
            <a:ext uri="{FF2B5EF4-FFF2-40B4-BE49-F238E27FC236}">
              <a16:creationId xmlns:a16="http://schemas.microsoft.com/office/drawing/2014/main" id="{060525AA-D5C9-48CF-ABE4-29C912395A7D}"/>
            </a:ext>
          </a:extLst>
        </xdr:cNvPr>
        <xdr:cNvSpPr/>
      </xdr:nvSpPr>
      <xdr:spPr>
        <a:xfrm>
          <a:off x="6970345" y="4045834"/>
          <a:ext cx="2340908" cy="2296087"/>
        </a:xfrm>
        <a:prstGeom prst="rect">
          <a:avLst/>
        </a:prstGeom>
        <a:solidFill>
          <a:schemeClr val="accent5">
            <a:lumMod val="50000"/>
          </a:schemeClr>
        </a:solidFill>
        <a:ln>
          <a:solidFill>
            <a:schemeClr val="bg1"/>
          </a:solidFill>
        </a:ln>
        <a:effectLst>
          <a:glow rad="101600">
            <a:schemeClr val="accent4">
              <a:lumMod val="50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288578</xdr:colOff>
      <xdr:row>8</xdr:row>
      <xdr:rowOff>102285</xdr:rowOff>
    </xdr:from>
    <xdr:to>
      <xdr:col>27</xdr:col>
      <xdr:colOff>562708</xdr:colOff>
      <xdr:row>19</xdr:row>
      <xdr:rowOff>14360</xdr:rowOff>
    </xdr:to>
    <xdr:sp macro="" textlink="">
      <xdr:nvSpPr>
        <xdr:cNvPr id="6" name="Rectangle 5">
          <a:extLst>
            <a:ext uri="{FF2B5EF4-FFF2-40B4-BE49-F238E27FC236}">
              <a16:creationId xmlns:a16="http://schemas.microsoft.com/office/drawing/2014/main" id="{7C3AA836-EE41-472C-8E14-04FE0E5AA1F9}"/>
            </a:ext>
          </a:extLst>
        </xdr:cNvPr>
        <xdr:cNvSpPr/>
      </xdr:nvSpPr>
      <xdr:spPr>
        <a:xfrm>
          <a:off x="9432578" y="1602839"/>
          <a:ext cx="7589330" cy="1975336"/>
        </a:xfrm>
        <a:prstGeom prst="rect">
          <a:avLst/>
        </a:prstGeom>
        <a:solidFill>
          <a:schemeClr val="accent5">
            <a:lumMod val="50000"/>
          </a:schemeClr>
        </a:solidFill>
        <a:ln>
          <a:solidFill>
            <a:schemeClr val="bg1"/>
          </a:solidFill>
        </a:ln>
        <a:effectLst>
          <a:glow rad="101600">
            <a:schemeClr val="accent4">
              <a:lumMod val="50000"/>
              <a:alpha val="60000"/>
            </a:schemeClr>
          </a:glow>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315981</xdr:colOff>
      <xdr:row>19</xdr:row>
      <xdr:rowOff>76075</xdr:rowOff>
    </xdr:from>
    <xdr:to>
      <xdr:col>20</xdr:col>
      <xdr:colOff>93785</xdr:colOff>
      <xdr:row>35</xdr:row>
      <xdr:rowOff>40746</xdr:rowOff>
    </xdr:to>
    <xdr:sp macro="" textlink="">
      <xdr:nvSpPr>
        <xdr:cNvPr id="7" name="Rectangle 6">
          <a:extLst>
            <a:ext uri="{FF2B5EF4-FFF2-40B4-BE49-F238E27FC236}">
              <a16:creationId xmlns:a16="http://schemas.microsoft.com/office/drawing/2014/main" id="{B6A81C93-0E2E-4808-9E96-526B920B18A7}"/>
            </a:ext>
          </a:extLst>
        </xdr:cNvPr>
        <xdr:cNvSpPr/>
      </xdr:nvSpPr>
      <xdr:spPr>
        <a:xfrm>
          <a:off x="9459981" y="3639890"/>
          <a:ext cx="2825804" cy="2965779"/>
        </a:xfrm>
        <a:prstGeom prst="rect">
          <a:avLst/>
        </a:prstGeom>
        <a:solidFill>
          <a:schemeClr val="accent5">
            <a:lumMod val="50000"/>
          </a:schemeClr>
        </a:solidFill>
        <a:ln>
          <a:solidFill>
            <a:schemeClr val="bg1"/>
          </a:solidFill>
        </a:ln>
        <a:effectLst>
          <a:glow rad="101600">
            <a:schemeClr val="accent4">
              <a:lumMod val="50000"/>
              <a:alpha val="60000"/>
            </a:schemeClr>
          </a:glow>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76449</xdr:colOff>
      <xdr:row>8</xdr:row>
      <xdr:rowOff>120316</xdr:rowOff>
    </xdr:from>
    <xdr:to>
      <xdr:col>30</xdr:col>
      <xdr:colOff>261083</xdr:colOff>
      <xdr:row>34</xdr:row>
      <xdr:rowOff>170448</xdr:rowOff>
    </xdr:to>
    <xdr:sp macro="" textlink="">
      <xdr:nvSpPr>
        <xdr:cNvPr id="8" name="Rectangle 7">
          <a:extLst>
            <a:ext uri="{FF2B5EF4-FFF2-40B4-BE49-F238E27FC236}">
              <a16:creationId xmlns:a16="http://schemas.microsoft.com/office/drawing/2014/main" id="{30C3D259-BD83-434C-B93A-B39D593FB6FE}"/>
            </a:ext>
          </a:extLst>
        </xdr:cNvPr>
        <xdr:cNvSpPr/>
      </xdr:nvSpPr>
      <xdr:spPr>
        <a:xfrm>
          <a:off x="17201396" y="1564105"/>
          <a:ext cx="1407845" cy="4742448"/>
        </a:xfrm>
        <a:prstGeom prst="rect">
          <a:avLst/>
        </a:prstGeom>
        <a:solidFill>
          <a:schemeClr val="accent5">
            <a:lumMod val="50000"/>
          </a:schemeClr>
        </a:solidFill>
        <a:ln>
          <a:solidFill>
            <a:schemeClr val="bg1"/>
          </a:solidFill>
        </a:ln>
        <a:effectLst>
          <a:glow rad="101600">
            <a:schemeClr val="accent4">
              <a:lumMod val="50000"/>
              <a:alpha val="60000"/>
            </a:schemeClr>
          </a:glow>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36385</xdr:colOff>
      <xdr:row>4</xdr:row>
      <xdr:rowOff>146610</xdr:rowOff>
    </xdr:from>
    <xdr:to>
      <xdr:col>24</xdr:col>
      <xdr:colOff>77929</xdr:colOff>
      <xdr:row>7</xdr:row>
      <xdr:rowOff>170334</xdr:rowOff>
    </xdr:to>
    <xdr:pic>
      <xdr:nvPicPr>
        <xdr:cNvPr id="9" name="Graphic 8" descr="Game controller with solid fill">
          <a:extLst>
            <a:ext uri="{FF2B5EF4-FFF2-40B4-BE49-F238E27FC236}">
              <a16:creationId xmlns:a16="http://schemas.microsoft.com/office/drawing/2014/main" id="{D0ED195E-A8F9-4F7D-ACCC-C20BFDD62F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4057185" y="886839"/>
          <a:ext cx="651144" cy="578895"/>
        </a:xfrm>
        <a:prstGeom prst="rect">
          <a:avLst/>
        </a:prstGeom>
      </xdr:spPr>
    </xdr:pic>
    <xdr:clientData/>
  </xdr:twoCellAnchor>
  <xdr:twoCellAnchor>
    <xdr:from>
      <xdr:col>11</xdr:col>
      <xdr:colOff>304800</xdr:colOff>
      <xdr:row>8</xdr:row>
      <xdr:rowOff>82061</xdr:rowOff>
    </xdr:from>
    <xdr:to>
      <xdr:col>15</xdr:col>
      <xdr:colOff>154983</xdr:colOff>
      <xdr:row>21</xdr:row>
      <xdr:rowOff>142068</xdr:rowOff>
    </xdr:to>
    <xdr:graphicFrame macro="">
      <xdr:nvGraphicFramePr>
        <xdr:cNvPr id="10" name="Chart 9">
          <a:extLst>
            <a:ext uri="{FF2B5EF4-FFF2-40B4-BE49-F238E27FC236}">
              <a16:creationId xmlns:a16="http://schemas.microsoft.com/office/drawing/2014/main" id="{8D262915-B36F-4514-B846-5642E5F4A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142706</xdr:colOff>
      <xdr:row>19</xdr:row>
      <xdr:rowOff>82314</xdr:rowOff>
    </xdr:from>
    <xdr:to>
      <xdr:col>28</xdr:col>
      <xdr:colOff>5414</xdr:colOff>
      <xdr:row>35</xdr:row>
      <xdr:rowOff>57424</xdr:rowOff>
    </xdr:to>
    <xdr:sp macro="" textlink="">
      <xdr:nvSpPr>
        <xdr:cNvPr id="11" name="Rectangle 10">
          <a:extLst>
            <a:ext uri="{FF2B5EF4-FFF2-40B4-BE49-F238E27FC236}">
              <a16:creationId xmlns:a16="http://schemas.microsoft.com/office/drawing/2014/main" id="{6C96E19F-49CD-4B7D-9556-35D1823CAD34}"/>
            </a:ext>
          </a:extLst>
        </xdr:cNvPr>
        <xdr:cNvSpPr/>
      </xdr:nvSpPr>
      <xdr:spPr>
        <a:xfrm>
          <a:off x="14773106" y="3646129"/>
          <a:ext cx="2301108" cy="2976218"/>
        </a:xfrm>
        <a:prstGeom prst="rect">
          <a:avLst/>
        </a:prstGeom>
        <a:solidFill>
          <a:schemeClr val="accent5">
            <a:lumMod val="50000"/>
          </a:schemeClr>
        </a:solidFill>
        <a:ln>
          <a:solidFill>
            <a:schemeClr val="bg1"/>
          </a:solidFill>
        </a:ln>
        <a:effectLst>
          <a:glow rad="101600">
            <a:schemeClr val="accent4">
              <a:lumMod val="50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203142</xdr:colOff>
      <xdr:row>19</xdr:row>
      <xdr:rowOff>73817</xdr:rowOff>
    </xdr:from>
    <xdr:to>
      <xdr:col>24</xdr:col>
      <xdr:colOff>78418</xdr:colOff>
      <xdr:row>35</xdr:row>
      <xdr:rowOff>32786</xdr:rowOff>
    </xdr:to>
    <xdr:sp macro="" textlink="">
      <xdr:nvSpPr>
        <xdr:cNvPr id="12" name="Rectangle 11">
          <a:extLst>
            <a:ext uri="{FF2B5EF4-FFF2-40B4-BE49-F238E27FC236}">
              <a16:creationId xmlns:a16="http://schemas.microsoft.com/office/drawing/2014/main" id="{81EC87B1-F542-44A2-8C64-2128C67F9582}"/>
            </a:ext>
          </a:extLst>
        </xdr:cNvPr>
        <xdr:cNvSpPr/>
      </xdr:nvSpPr>
      <xdr:spPr>
        <a:xfrm>
          <a:off x="12395142" y="3637632"/>
          <a:ext cx="2313676" cy="2960077"/>
        </a:xfrm>
        <a:prstGeom prst="rect">
          <a:avLst/>
        </a:prstGeom>
        <a:solidFill>
          <a:schemeClr val="accent5">
            <a:lumMod val="50000"/>
          </a:schemeClr>
        </a:solidFill>
        <a:ln>
          <a:solidFill>
            <a:schemeClr val="bg1"/>
          </a:solidFill>
        </a:ln>
        <a:effectLst>
          <a:glow rad="101600">
            <a:schemeClr val="accent4">
              <a:lumMod val="50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322882</xdr:colOff>
      <xdr:row>22</xdr:row>
      <xdr:rowOff>167898</xdr:rowOff>
    </xdr:from>
    <xdr:to>
      <xdr:col>15</xdr:col>
      <xdr:colOff>219560</xdr:colOff>
      <xdr:row>34</xdr:row>
      <xdr:rowOff>154982</xdr:rowOff>
    </xdr:to>
    <xdr:graphicFrame macro="">
      <xdr:nvGraphicFramePr>
        <xdr:cNvPr id="13" name="Chart 12">
          <a:extLst>
            <a:ext uri="{FF2B5EF4-FFF2-40B4-BE49-F238E27FC236}">
              <a16:creationId xmlns:a16="http://schemas.microsoft.com/office/drawing/2014/main" id="{A4365D71-E8BA-4BAE-843D-6134BEBBF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316523</xdr:colOff>
      <xdr:row>8</xdr:row>
      <xdr:rowOff>122455</xdr:rowOff>
    </xdr:from>
    <xdr:to>
      <xdr:col>27</xdr:col>
      <xdr:colOff>539263</xdr:colOff>
      <xdr:row>18</xdr:row>
      <xdr:rowOff>160422</xdr:rowOff>
    </xdr:to>
    <xdr:graphicFrame macro="">
      <xdr:nvGraphicFramePr>
        <xdr:cNvPr id="14" name="Chart 13">
          <a:extLst>
            <a:ext uri="{FF2B5EF4-FFF2-40B4-BE49-F238E27FC236}">
              <a16:creationId xmlns:a16="http://schemas.microsoft.com/office/drawing/2014/main" id="{E0941B5B-57FB-44BA-846B-4FE4D6899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339969</xdr:colOff>
      <xdr:row>19</xdr:row>
      <xdr:rowOff>70340</xdr:rowOff>
    </xdr:from>
    <xdr:to>
      <xdr:col>20</xdr:col>
      <xdr:colOff>117231</xdr:colOff>
      <xdr:row>35</xdr:row>
      <xdr:rowOff>35170</xdr:rowOff>
    </xdr:to>
    <xdr:graphicFrame macro="">
      <xdr:nvGraphicFramePr>
        <xdr:cNvPr id="15" name="Chart 14">
          <a:extLst>
            <a:ext uri="{FF2B5EF4-FFF2-40B4-BE49-F238E27FC236}">
              <a16:creationId xmlns:a16="http://schemas.microsoft.com/office/drawing/2014/main" id="{65531C89-552E-4E76-ABEC-7F5E6A633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200551</xdr:colOff>
      <xdr:row>22</xdr:row>
      <xdr:rowOff>152400</xdr:rowOff>
    </xdr:from>
    <xdr:to>
      <xdr:col>24</xdr:col>
      <xdr:colOff>58615</xdr:colOff>
      <xdr:row>35</xdr:row>
      <xdr:rowOff>58615</xdr:rowOff>
    </xdr:to>
    <xdr:graphicFrame macro="">
      <xdr:nvGraphicFramePr>
        <xdr:cNvPr id="16" name="Chart 15">
          <a:extLst>
            <a:ext uri="{FF2B5EF4-FFF2-40B4-BE49-F238E27FC236}">
              <a16:creationId xmlns:a16="http://schemas.microsoft.com/office/drawing/2014/main" id="{F46E0081-D6D3-457A-BB53-930551E85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124910</xdr:colOff>
      <xdr:row>22</xdr:row>
      <xdr:rowOff>117232</xdr:rowOff>
    </xdr:from>
    <xdr:to>
      <xdr:col>28</xdr:col>
      <xdr:colOff>17449</xdr:colOff>
      <xdr:row>35</xdr:row>
      <xdr:rowOff>56678</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39746EBF-6F6F-47AB-A0CB-E4E1DBA087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755310" y="4140592"/>
              <a:ext cx="2330939" cy="23168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28</xdr:col>
      <xdr:colOff>106970</xdr:colOff>
      <xdr:row>11</xdr:row>
      <xdr:rowOff>93786</xdr:rowOff>
    </xdr:from>
    <xdr:to>
      <xdr:col>30</xdr:col>
      <xdr:colOff>238286</xdr:colOff>
      <xdr:row>30</xdr:row>
      <xdr:rowOff>145447</xdr:rowOff>
    </xdr:to>
    <mc:AlternateContent xmlns:mc="http://schemas.openxmlformats.org/markup-compatibility/2006" xmlns:a14="http://schemas.microsoft.com/office/drawing/2010/main">
      <mc:Choice Requires="a14">
        <xdr:graphicFrame macro="">
          <xdr:nvGraphicFramePr>
            <xdr:cNvPr id="18" name="Genre 5">
              <a:extLst>
                <a:ext uri="{FF2B5EF4-FFF2-40B4-BE49-F238E27FC236}">
                  <a16:creationId xmlns:a16="http://schemas.microsoft.com/office/drawing/2014/main" id="{6BC806FC-5A9C-46B8-89BF-D0384A65EC6D}"/>
                </a:ext>
              </a:extLst>
            </xdr:cNvPr>
            <xdr:cNvGraphicFramePr/>
          </xdr:nvGraphicFramePr>
          <xdr:xfrm>
            <a:off x="0" y="0"/>
            <a:ext cx="0" cy="0"/>
          </xdr:xfrm>
          <a:graphic>
            <a:graphicData uri="http://schemas.microsoft.com/office/drawing/2010/slicer">
              <sle:slicer xmlns:sle="http://schemas.microsoft.com/office/drawing/2010/slicer" name="Genre 5"/>
            </a:graphicData>
          </a:graphic>
        </xdr:graphicFrame>
      </mc:Choice>
      <mc:Fallback xmlns="">
        <xdr:sp macro="" textlink="">
          <xdr:nvSpPr>
            <xdr:cNvPr id="0" name=""/>
            <xdr:cNvSpPr>
              <a:spLocks noTextEdit="1"/>
            </xdr:cNvSpPr>
          </xdr:nvSpPr>
          <xdr:spPr>
            <a:xfrm>
              <a:off x="17175770" y="2129415"/>
              <a:ext cx="1350516" cy="3567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345350</xdr:colOff>
      <xdr:row>19</xdr:row>
      <xdr:rowOff>103322</xdr:rowOff>
    </xdr:from>
    <xdr:to>
      <xdr:col>18</xdr:col>
      <xdr:colOff>20168</xdr:colOff>
      <xdr:row>21</xdr:row>
      <xdr:rowOff>58207</xdr:rowOff>
    </xdr:to>
    <xdr:sp macro="" textlink="">
      <xdr:nvSpPr>
        <xdr:cNvPr id="19" name="Rectangle: Rounded Corners 18">
          <a:extLst>
            <a:ext uri="{FF2B5EF4-FFF2-40B4-BE49-F238E27FC236}">
              <a16:creationId xmlns:a16="http://schemas.microsoft.com/office/drawing/2014/main" id="{C03839B1-AF37-4AB4-9BA6-82977865E339}"/>
            </a:ext>
          </a:extLst>
        </xdr:cNvPr>
        <xdr:cNvSpPr/>
      </xdr:nvSpPr>
      <xdr:spPr>
        <a:xfrm>
          <a:off x="9450604" y="3538780"/>
          <a:ext cx="1495869" cy="316512"/>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chemeClr val="bg1"/>
              </a:solidFill>
              <a:latin typeface="Arial Black" panose="020B0A04020102020204" pitchFamily="34" charset="0"/>
            </a:rPr>
            <a:t>NA SALES</a:t>
          </a:r>
        </a:p>
      </xdr:txBody>
    </xdr:sp>
    <xdr:clientData/>
  </xdr:twoCellAnchor>
  <xdr:twoCellAnchor editAs="oneCell">
    <xdr:from>
      <xdr:col>18</xdr:col>
      <xdr:colOff>247036</xdr:colOff>
      <xdr:row>8</xdr:row>
      <xdr:rowOff>161498</xdr:rowOff>
    </xdr:from>
    <xdr:to>
      <xdr:col>19</xdr:col>
      <xdr:colOff>57555</xdr:colOff>
      <xdr:row>10</xdr:row>
      <xdr:rowOff>74629</xdr:rowOff>
    </xdr:to>
    <xdr:pic>
      <xdr:nvPicPr>
        <xdr:cNvPr id="25" name="Graphic 24" descr="Bar graph with upward trend with solid fill">
          <a:extLst>
            <a:ext uri="{FF2B5EF4-FFF2-40B4-BE49-F238E27FC236}">
              <a16:creationId xmlns:a16="http://schemas.microsoft.com/office/drawing/2014/main" id="{9B8CD5A3-4604-4B48-B3A0-39108AAD5FB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173341" y="1608006"/>
          <a:ext cx="417536" cy="274759"/>
        </a:xfrm>
        <a:prstGeom prst="rect">
          <a:avLst/>
        </a:prstGeom>
      </xdr:spPr>
    </xdr:pic>
    <xdr:clientData/>
  </xdr:twoCellAnchor>
  <xdr:twoCellAnchor>
    <xdr:from>
      <xdr:col>8</xdr:col>
      <xdr:colOff>219559</xdr:colOff>
      <xdr:row>8</xdr:row>
      <xdr:rowOff>82061</xdr:rowOff>
    </xdr:from>
    <xdr:to>
      <xdr:col>11</xdr:col>
      <xdr:colOff>232475</xdr:colOff>
      <xdr:row>14</xdr:row>
      <xdr:rowOff>105508</xdr:rowOff>
    </xdr:to>
    <xdr:sp macro="" textlink="">
      <xdr:nvSpPr>
        <xdr:cNvPr id="20" name="Rectangle: Rounded Corners 19">
          <a:extLst>
            <a:ext uri="{FF2B5EF4-FFF2-40B4-BE49-F238E27FC236}">
              <a16:creationId xmlns:a16="http://schemas.microsoft.com/office/drawing/2014/main" id="{B3E6426B-69C5-4581-A29E-544A0DB6CC4F}"/>
            </a:ext>
          </a:extLst>
        </xdr:cNvPr>
        <xdr:cNvSpPr/>
      </xdr:nvSpPr>
      <xdr:spPr>
        <a:xfrm>
          <a:off x="5096359" y="1582615"/>
          <a:ext cx="1841716" cy="1148862"/>
        </a:xfrm>
        <a:prstGeom prst="roundRect">
          <a:avLst/>
        </a:prstGeom>
        <a:solidFill>
          <a:schemeClr val="accent5">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229891</xdr:colOff>
      <xdr:row>14</xdr:row>
      <xdr:rowOff>175847</xdr:rowOff>
    </xdr:from>
    <xdr:to>
      <xdr:col>11</xdr:col>
      <xdr:colOff>242807</xdr:colOff>
      <xdr:row>21</xdr:row>
      <xdr:rowOff>23446</xdr:rowOff>
    </xdr:to>
    <xdr:sp macro="" textlink="">
      <xdr:nvSpPr>
        <xdr:cNvPr id="26" name="Rectangle: Rounded Corners 25">
          <a:extLst>
            <a:ext uri="{FF2B5EF4-FFF2-40B4-BE49-F238E27FC236}">
              <a16:creationId xmlns:a16="http://schemas.microsoft.com/office/drawing/2014/main" id="{FB9B56AC-B514-4F8E-876D-60147421A358}"/>
            </a:ext>
          </a:extLst>
        </xdr:cNvPr>
        <xdr:cNvSpPr/>
      </xdr:nvSpPr>
      <xdr:spPr>
        <a:xfrm>
          <a:off x="5106691" y="2801816"/>
          <a:ext cx="1841716" cy="1160584"/>
        </a:xfrm>
        <a:prstGeom prst="roundRect">
          <a:avLst/>
        </a:prstGeom>
        <a:solidFill>
          <a:schemeClr val="accent5">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227309</xdr:colOff>
      <xdr:row>21</xdr:row>
      <xdr:rowOff>105508</xdr:rowOff>
    </xdr:from>
    <xdr:to>
      <xdr:col>11</xdr:col>
      <xdr:colOff>240225</xdr:colOff>
      <xdr:row>27</xdr:row>
      <xdr:rowOff>175846</xdr:rowOff>
    </xdr:to>
    <xdr:sp macro="" textlink="">
      <xdr:nvSpPr>
        <xdr:cNvPr id="27" name="Rectangle: Rounded Corners 26">
          <a:extLst>
            <a:ext uri="{FF2B5EF4-FFF2-40B4-BE49-F238E27FC236}">
              <a16:creationId xmlns:a16="http://schemas.microsoft.com/office/drawing/2014/main" id="{FBA943FF-7F7D-4AED-9376-595D0DD1BF97}"/>
            </a:ext>
          </a:extLst>
        </xdr:cNvPr>
        <xdr:cNvSpPr/>
      </xdr:nvSpPr>
      <xdr:spPr>
        <a:xfrm>
          <a:off x="5104109" y="4044462"/>
          <a:ext cx="1841716" cy="1195753"/>
        </a:xfrm>
        <a:prstGeom prst="roundRect">
          <a:avLst/>
        </a:prstGeom>
        <a:solidFill>
          <a:schemeClr val="accent5">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237641</xdr:colOff>
      <xdr:row>28</xdr:row>
      <xdr:rowOff>82063</xdr:rowOff>
    </xdr:from>
    <xdr:to>
      <xdr:col>11</xdr:col>
      <xdr:colOff>250557</xdr:colOff>
      <xdr:row>34</xdr:row>
      <xdr:rowOff>160151</xdr:rowOff>
    </xdr:to>
    <xdr:sp macro="" textlink="">
      <xdr:nvSpPr>
        <xdr:cNvPr id="28" name="Rectangle: Rounded Corners 27">
          <a:extLst>
            <a:ext uri="{FF2B5EF4-FFF2-40B4-BE49-F238E27FC236}">
              <a16:creationId xmlns:a16="http://schemas.microsoft.com/office/drawing/2014/main" id="{50D1B841-2570-461C-8093-238F240D6A77}"/>
            </a:ext>
          </a:extLst>
        </xdr:cNvPr>
        <xdr:cNvSpPr/>
      </xdr:nvSpPr>
      <xdr:spPr>
        <a:xfrm>
          <a:off x="5114441" y="5334001"/>
          <a:ext cx="1841716" cy="1203504"/>
        </a:xfrm>
        <a:prstGeom prst="roundRect">
          <a:avLst/>
        </a:prstGeom>
        <a:solidFill>
          <a:schemeClr val="accent5">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246185</xdr:colOff>
      <xdr:row>9</xdr:row>
      <xdr:rowOff>11721</xdr:rowOff>
    </xdr:from>
    <xdr:to>
      <xdr:col>11</xdr:col>
      <xdr:colOff>211015</xdr:colOff>
      <xdr:row>14</xdr:row>
      <xdr:rowOff>11723</xdr:rowOff>
    </xdr:to>
    <xdr:grpSp>
      <xdr:nvGrpSpPr>
        <xdr:cNvPr id="23" name="Group 22">
          <a:extLst>
            <a:ext uri="{FF2B5EF4-FFF2-40B4-BE49-F238E27FC236}">
              <a16:creationId xmlns:a16="http://schemas.microsoft.com/office/drawing/2014/main" id="{57EB91EE-D409-43A3-A25A-ACB0B3C6F3DE}"/>
            </a:ext>
          </a:extLst>
        </xdr:cNvPr>
        <xdr:cNvGrpSpPr/>
      </xdr:nvGrpSpPr>
      <xdr:grpSpPr>
        <a:xfrm>
          <a:off x="5139027" y="1635984"/>
          <a:ext cx="1799646" cy="902371"/>
          <a:chOff x="5122985" y="1699844"/>
          <a:chExt cx="1793630" cy="937848"/>
        </a:xfrm>
      </xdr:grpSpPr>
      <xdr:sp macro="" textlink="">
        <xdr:nvSpPr>
          <xdr:cNvPr id="21" name="Rectangle: Rounded Corners 20">
            <a:extLst>
              <a:ext uri="{FF2B5EF4-FFF2-40B4-BE49-F238E27FC236}">
                <a16:creationId xmlns:a16="http://schemas.microsoft.com/office/drawing/2014/main" id="{9103E7CC-BDCA-4CD8-A737-1BB2B888188E}"/>
              </a:ext>
            </a:extLst>
          </xdr:cNvPr>
          <xdr:cNvSpPr/>
        </xdr:nvSpPr>
        <xdr:spPr>
          <a:xfrm>
            <a:off x="5122985" y="1699844"/>
            <a:ext cx="1793630" cy="49237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accent5">
                    <a:lumMod val="40000"/>
                    <a:lumOff val="60000"/>
                  </a:schemeClr>
                </a:solidFill>
                <a:latin typeface="Arial Black" panose="020B0A04020102020204" pitchFamily="34" charset="0"/>
              </a:rPr>
              <a:t>GLOBAL SALES</a:t>
            </a:r>
          </a:p>
        </xdr:txBody>
      </xdr:sp>
      <xdr:sp macro="" textlink="SUMMARY!A6">
        <xdr:nvSpPr>
          <xdr:cNvPr id="22" name="Rectangle: Rounded Corners 21">
            <a:extLst>
              <a:ext uri="{FF2B5EF4-FFF2-40B4-BE49-F238E27FC236}">
                <a16:creationId xmlns:a16="http://schemas.microsoft.com/office/drawing/2014/main" id="{6E466454-21E9-4714-BF4D-6177F00A2197}"/>
              </a:ext>
            </a:extLst>
          </xdr:cNvPr>
          <xdr:cNvSpPr/>
        </xdr:nvSpPr>
        <xdr:spPr>
          <a:xfrm>
            <a:off x="5310554" y="2168769"/>
            <a:ext cx="1441938" cy="46892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E5E2CC1-483C-4986-90B6-D82BC0FB028E}" type="TxLink">
              <a:rPr lang="en-US" sz="1800" b="1" i="0" u="none" strike="noStrike">
                <a:solidFill>
                  <a:schemeClr val="accent5">
                    <a:lumMod val="40000"/>
                    <a:lumOff val="60000"/>
                  </a:schemeClr>
                </a:solidFill>
                <a:latin typeface="Arial" panose="020B0604020202020204" pitchFamily="34" charset="0"/>
                <a:cs typeface="Arial" panose="020B0604020202020204" pitchFamily="34" charset="0"/>
              </a:rPr>
              <a:pPr algn="ctr"/>
              <a:t> $316.59 </a:t>
            </a:fld>
            <a:endParaRPr lang="en-IN" sz="3600" b="1">
              <a:solidFill>
                <a:schemeClr val="accent5">
                  <a:lumMod val="40000"/>
                  <a:lumOff val="60000"/>
                </a:schemeClr>
              </a:solidFill>
              <a:latin typeface="Arial" panose="020B0604020202020204" pitchFamily="34" charset="0"/>
              <a:cs typeface="Arial" panose="020B0604020202020204" pitchFamily="34" charset="0"/>
            </a:endParaRPr>
          </a:p>
        </xdr:txBody>
      </xdr:sp>
    </xdr:grpSp>
    <xdr:clientData/>
  </xdr:twoCellAnchor>
  <xdr:twoCellAnchor>
    <xdr:from>
      <xdr:col>8</xdr:col>
      <xdr:colOff>234461</xdr:colOff>
      <xdr:row>29</xdr:row>
      <xdr:rowOff>35166</xdr:rowOff>
    </xdr:from>
    <xdr:to>
      <xdr:col>11</xdr:col>
      <xdr:colOff>199291</xdr:colOff>
      <xdr:row>34</xdr:row>
      <xdr:rowOff>35168</xdr:rowOff>
    </xdr:to>
    <xdr:grpSp>
      <xdr:nvGrpSpPr>
        <xdr:cNvPr id="38" name="Group 37">
          <a:extLst>
            <a:ext uri="{FF2B5EF4-FFF2-40B4-BE49-F238E27FC236}">
              <a16:creationId xmlns:a16="http://schemas.microsoft.com/office/drawing/2014/main" id="{86DD50AF-F233-488C-9E67-C1BB3A984C5F}"/>
            </a:ext>
          </a:extLst>
        </xdr:cNvPr>
        <xdr:cNvGrpSpPr/>
      </xdr:nvGrpSpPr>
      <xdr:grpSpPr>
        <a:xfrm>
          <a:off x="5127303" y="5268903"/>
          <a:ext cx="1799646" cy="902370"/>
          <a:chOff x="5122985" y="1699844"/>
          <a:chExt cx="1793630" cy="937848"/>
        </a:xfrm>
      </xdr:grpSpPr>
      <xdr:sp macro="" textlink="">
        <xdr:nvSpPr>
          <xdr:cNvPr id="39" name="Rectangle: Rounded Corners 38">
            <a:extLst>
              <a:ext uri="{FF2B5EF4-FFF2-40B4-BE49-F238E27FC236}">
                <a16:creationId xmlns:a16="http://schemas.microsoft.com/office/drawing/2014/main" id="{B760B0F9-E1BD-4EB6-A738-CC183EFC4C1D}"/>
              </a:ext>
            </a:extLst>
          </xdr:cNvPr>
          <xdr:cNvSpPr/>
        </xdr:nvSpPr>
        <xdr:spPr>
          <a:xfrm>
            <a:off x="5122985" y="1699844"/>
            <a:ext cx="1793630" cy="41030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accent5">
                    <a:lumMod val="40000"/>
                    <a:lumOff val="60000"/>
                  </a:schemeClr>
                </a:solidFill>
                <a:latin typeface="Arial Black" panose="020B0A04020102020204" pitchFamily="34" charset="0"/>
              </a:rPr>
              <a:t>JP SALES</a:t>
            </a:r>
          </a:p>
        </xdr:txBody>
      </xdr:sp>
      <xdr:sp macro="" textlink="SUMMARY!B6">
        <xdr:nvSpPr>
          <xdr:cNvPr id="40" name="Rectangle: Rounded Corners 39">
            <a:extLst>
              <a:ext uri="{FF2B5EF4-FFF2-40B4-BE49-F238E27FC236}">
                <a16:creationId xmlns:a16="http://schemas.microsoft.com/office/drawing/2014/main" id="{124ED41F-CEBD-4BBA-AF43-91D726BA391A}"/>
              </a:ext>
            </a:extLst>
          </xdr:cNvPr>
          <xdr:cNvSpPr/>
        </xdr:nvSpPr>
        <xdr:spPr>
          <a:xfrm>
            <a:off x="5310554" y="2168769"/>
            <a:ext cx="1441938" cy="46892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0DDFE8F-24F2-4728-AD5C-72F9D3793B12}" type="TxLink">
              <a:rPr lang="en-US" sz="1800" b="1" i="0" u="none" strike="noStrike">
                <a:solidFill>
                  <a:schemeClr val="accent5">
                    <a:lumMod val="40000"/>
                    <a:lumOff val="60000"/>
                  </a:schemeClr>
                </a:solidFill>
                <a:latin typeface="Arial" panose="020B0604020202020204" pitchFamily="34" charset="0"/>
                <a:cs typeface="Arial" panose="020B0604020202020204" pitchFamily="34" charset="0"/>
              </a:rPr>
              <a:pPr algn="ctr"/>
              <a:t> $35.19 </a:t>
            </a:fld>
            <a:endParaRPr lang="en-IN" sz="3600" b="1">
              <a:solidFill>
                <a:schemeClr val="accent5">
                  <a:lumMod val="40000"/>
                  <a:lumOff val="60000"/>
                </a:schemeClr>
              </a:solidFill>
              <a:latin typeface="Arial" panose="020B0604020202020204" pitchFamily="34" charset="0"/>
              <a:cs typeface="Arial" panose="020B0604020202020204" pitchFamily="34" charset="0"/>
            </a:endParaRPr>
          </a:p>
        </xdr:txBody>
      </xdr:sp>
    </xdr:grpSp>
    <xdr:clientData/>
  </xdr:twoCellAnchor>
  <xdr:twoCellAnchor>
    <xdr:from>
      <xdr:col>8</xdr:col>
      <xdr:colOff>211016</xdr:colOff>
      <xdr:row>22</xdr:row>
      <xdr:rowOff>46890</xdr:rowOff>
    </xdr:from>
    <xdr:to>
      <xdr:col>11</xdr:col>
      <xdr:colOff>175846</xdr:colOff>
      <xdr:row>27</xdr:row>
      <xdr:rowOff>46892</xdr:rowOff>
    </xdr:to>
    <xdr:grpSp>
      <xdr:nvGrpSpPr>
        <xdr:cNvPr id="41" name="Group 40">
          <a:extLst>
            <a:ext uri="{FF2B5EF4-FFF2-40B4-BE49-F238E27FC236}">
              <a16:creationId xmlns:a16="http://schemas.microsoft.com/office/drawing/2014/main" id="{01E8B8D5-4D64-48A4-83AC-A7AA09DAAA52}"/>
            </a:ext>
          </a:extLst>
        </xdr:cNvPr>
        <xdr:cNvGrpSpPr/>
      </xdr:nvGrpSpPr>
      <xdr:grpSpPr>
        <a:xfrm>
          <a:off x="5103858" y="4017311"/>
          <a:ext cx="1799646" cy="902370"/>
          <a:chOff x="5122985" y="1699844"/>
          <a:chExt cx="1793630" cy="937848"/>
        </a:xfrm>
      </xdr:grpSpPr>
      <xdr:sp macro="" textlink="">
        <xdr:nvSpPr>
          <xdr:cNvPr id="42" name="Rectangle: Rounded Corners 41">
            <a:extLst>
              <a:ext uri="{FF2B5EF4-FFF2-40B4-BE49-F238E27FC236}">
                <a16:creationId xmlns:a16="http://schemas.microsoft.com/office/drawing/2014/main" id="{967E53CD-17DF-448B-B630-17D1B7258FE7}"/>
              </a:ext>
            </a:extLst>
          </xdr:cNvPr>
          <xdr:cNvSpPr/>
        </xdr:nvSpPr>
        <xdr:spPr>
          <a:xfrm>
            <a:off x="5122985" y="1699844"/>
            <a:ext cx="1793630" cy="41030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accent5">
                    <a:lumMod val="40000"/>
                    <a:lumOff val="60000"/>
                  </a:schemeClr>
                </a:solidFill>
                <a:latin typeface="Arial Black" panose="020B0A04020102020204" pitchFamily="34" charset="0"/>
              </a:rPr>
              <a:t>EU SALES</a:t>
            </a:r>
          </a:p>
        </xdr:txBody>
      </xdr:sp>
      <xdr:sp macro="" textlink="SUMMARY!E6">
        <xdr:nvSpPr>
          <xdr:cNvPr id="43" name="Rectangle: Rounded Corners 42">
            <a:extLst>
              <a:ext uri="{FF2B5EF4-FFF2-40B4-BE49-F238E27FC236}">
                <a16:creationId xmlns:a16="http://schemas.microsoft.com/office/drawing/2014/main" id="{4D561415-B3EE-4E41-873A-A79F15A881E9}"/>
              </a:ext>
            </a:extLst>
          </xdr:cNvPr>
          <xdr:cNvSpPr/>
        </xdr:nvSpPr>
        <xdr:spPr>
          <a:xfrm>
            <a:off x="5310554" y="2168769"/>
            <a:ext cx="1441938" cy="46892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22582E9-F939-494B-8F80-E0C14E91AB82}" type="TxLink">
              <a:rPr lang="en-US" sz="1800" b="1" i="0" u="none" strike="noStrike">
                <a:solidFill>
                  <a:schemeClr val="accent5">
                    <a:lumMod val="40000"/>
                    <a:lumOff val="60000"/>
                  </a:schemeClr>
                </a:solidFill>
                <a:latin typeface="Arial" panose="020B0604020202020204" pitchFamily="34" charset="0"/>
                <a:cs typeface="Arial" panose="020B0604020202020204" pitchFamily="34" charset="0"/>
              </a:rPr>
              <a:pPr algn="ctr"/>
              <a:t> $101.84 </a:t>
            </a:fld>
            <a:endParaRPr lang="en-IN" sz="5400" b="1">
              <a:solidFill>
                <a:schemeClr val="accent5">
                  <a:lumMod val="40000"/>
                  <a:lumOff val="60000"/>
                </a:schemeClr>
              </a:solidFill>
              <a:latin typeface="Arial" panose="020B0604020202020204" pitchFamily="34" charset="0"/>
              <a:cs typeface="Arial" panose="020B0604020202020204" pitchFamily="34" charset="0"/>
            </a:endParaRPr>
          </a:p>
        </xdr:txBody>
      </xdr:sp>
    </xdr:grpSp>
    <xdr:clientData/>
  </xdr:twoCellAnchor>
  <xdr:twoCellAnchor>
    <xdr:from>
      <xdr:col>8</xdr:col>
      <xdr:colOff>222739</xdr:colOff>
      <xdr:row>15</xdr:row>
      <xdr:rowOff>93784</xdr:rowOff>
    </xdr:from>
    <xdr:to>
      <xdr:col>11</xdr:col>
      <xdr:colOff>187569</xdr:colOff>
      <xdr:row>20</xdr:row>
      <xdr:rowOff>93785</xdr:rowOff>
    </xdr:to>
    <xdr:grpSp>
      <xdr:nvGrpSpPr>
        <xdr:cNvPr id="44" name="Group 43">
          <a:extLst>
            <a:ext uri="{FF2B5EF4-FFF2-40B4-BE49-F238E27FC236}">
              <a16:creationId xmlns:a16="http://schemas.microsoft.com/office/drawing/2014/main" id="{55252206-C782-40D8-9478-BEC99B4513E2}"/>
            </a:ext>
          </a:extLst>
        </xdr:cNvPr>
        <xdr:cNvGrpSpPr/>
      </xdr:nvGrpSpPr>
      <xdr:grpSpPr>
        <a:xfrm>
          <a:off x="5115581" y="2800889"/>
          <a:ext cx="1799646" cy="902370"/>
          <a:chOff x="5122985" y="1699844"/>
          <a:chExt cx="1793630" cy="937848"/>
        </a:xfrm>
      </xdr:grpSpPr>
      <xdr:sp macro="" textlink="">
        <xdr:nvSpPr>
          <xdr:cNvPr id="45" name="Rectangle: Rounded Corners 44">
            <a:extLst>
              <a:ext uri="{FF2B5EF4-FFF2-40B4-BE49-F238E27FC236}">
                <a16:creationId xmlns:a16="http://schemas.microsoft.com/office/drawing/2014/main" id="{8FBC8FB1-F71C-4A45-8308-BE2F5E2B1F70}"/>
              </a:ext>
            </a:extLst>
          </xdr:cNvPr>
          <xdr:cNvSpPr/>
        </xdr:nvSpPr>
        <xdr:spPr>
          <a:xfrm>
            <a:off x="5122985" y="1699844"/>
            <a:ext cx="1793630" cy="41030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accent5">
                    <a:lumMod val="40000"/>
                    <a:lumOff val="60000"/>
                  </a:schemeClr>
                </a:solidFill>
                <a:latin typeface="Arial Black" panose="020B0A04020102020204" pitchFamily="34" charset="0"/>
              </a:rPr>
              <a:t>NA SALES</a:t>
            </a:r>
          </a:p>
        </xdr:txBody>
      </xdr:sp>
      <xdr:sp macro="" textlink="SUMMARY!D6">
        <xdr:nvSpPr>
          <xdr:cNvPr id="46" name="Rectangle: Rounded Corners 45">
            <a:extLst>
              <a:ext uri="{FF2B5EF4-FFF2-40B4-BE49-F238E27FC236}">
                <a16:creationId xmlns:a16="http://schemas.microsoft.com/office/drawing/2014/main" id="{F079F93C-3EED-458C-9013-E9A579AD1B08}"/>
              </a:ext>
            </a:extLst>
          </xdr:cNvPr>
          <xdr:cNvSpPr/>
        </xdr:nvSpPr>
        <xdr:spPr>
          <a:xfrm>
            <a:off x="5310554" y="2168769"/>
            <a:ext cx="1441938" cy="46892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A9232BD-21A7-42AD-8081-67565C1FDD23}" type="TxLink">
              <a:rPr lang="en-US" sz="1800" b="1" i="0" u="none" strike="noStrike">
                <a:solidFill>
                  <a:schemeClr val="accent5">
                    <a:lumMod val="40000"/>
                    <a:lumOff val="60000"/>
                  </a:schemeClr>
                </a:solidFill>
                <a:latin typeface="Arial" panose="020B0604020202020204" pitchFamily="34" charset="0"/>
                <a:cs typeface="Arial" panose="020B0604020202020204" pitchFamily="34" charset="0"/>
              </a:rPr>
              <a:pPr algn="ctr"/>
              <a:t> $143.21 </a:t>
            </a:fld>
            <a:endParaRPr lang="en-IN" sz="5400" b="1">
              <a:solidFill>
                <a:schemeClr val="accent5">
                  <a:lumMod val="40000"/>
                  <a:lumOff val="60000"/>
                </a:schemeClr>
              </a:solidFill>
              <a:latin typeface="Arial" panose="020B0604020202020204" pitchFamily="34" charset="0"/>
              <a:cs typeface="Arial" panose="020B0604020202020204" pitchFamily="34" charset="0"/>
            </a:endParaRPr>
          </a:p>
        </xdr:txBody>
      </xdr:sp>
    </xdr:grpSp>
    <xdr:clientData/>
  </xdr:twoCellAnchor>
  <xdr:twoCellAnchor>
    <xdr:from>
      <xdr:col>20</xdr:col>
      <xdr:colOff>257908</xdr:colOff>
      <xdr:row>19</xdr:row>
      <xdr:rowOff>140677</xdr:rowOff>
    </xdr:from>
    <xdr:to>
      <xdr:col>22</xdr:col>
      <xdr:colOff>363416</xdr:colOff>
      <xdr:row>21</xdr:row>
      <xdr:rowOff>82061</xdr:rowOff>
    </xdr:to>
    <xdr:sp macro="" textlink="">
      <xdr:nvSpPr>
        <xdr:cNvPr id="24" name="Rectangle 23">
          <a:extLst>
            <a:ext uri="{FF2B5EF4-FFF2-40B4-BE49-F238E27FC236}">
              <a16:creationId xmlns:a16="http://schemas.microsoft.com/office/drawing/2014/main" id="{C38730C0-E4D2-432C-A746-CDDC9198D210}"/>
            </a:ext>
          </a:extLst>
        </xdr:cNvPr>
        <xdr:cNvSpPr/>
      </xdr:nvSpPr>
      <xdr:spPr>
        <a:xfrm>
          <a:off x="12449908" y="3704492"/>
          <a:ext cx="1324708" cy="3165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bg1"/>
              </a:solidFill>
              <a:latin typeface="Arial Black" panose="020B0A04020102020204" pitchFamily="34" charset="0"/>
              <a:cs typeface="Arial" panose="020B0604020202020204" pitchFamily="34" charset="0"/>
            </a:rPr>
            <a:t>EU SALES</a:t>
          </a:r>
        </a:p>
      </xdr:txBody>
    </xdr:sp>
    <xdr:clientData/>
  </xdr:twoCellAnchor>
  <xdr:twoCellAnchor>
    <xdr:from>
      <xdr:col>24</xdr:col>
      <xdr:colOff>164124</xdr:colOff>
      <xdr:row>19</xdr:row>
      <xdr:rowOff>117231</xdr:rowOff>
    </xdr:from>
    <xdr:to>
      <xdr:col>26</xdr:col>
      <xdr:colOff>269632</xdr:colOff>
      <xdr:row>21</xdr:row>
      <xdr:rowOff>58615</xdr:rowOff>
    </xdr:to>
    <xdr:sp macro="" textlink="">
      <xdr:nvSpPr>
        <xdr:cNvPr id="49" name="Rectangle 48">
          <a:extLst>
            <a:ext uri="{FF2B5EF4-FFF2-40B4-BE49-F238E27FC236}">
              <a16:creationId xmlns:a16="http://schemas.microsoft.com/office/drawing/2014/main" id="{2034D69E-24C0-4269-9449-4E562F165F6E}"/>
            </a:ext>
          </a:extLst>
        </xdr:cNvPr>
        <xdr:cNvSpPr/>
      </xdr:nvSpPr>
      <xdr:spPr>
        <a:xfrm>
          <a:off x="14794524" y="3681046"/>
          <a:ext cx="1324708" cy="3165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chemeClr val="bg1"/>
              </a:solidFill>
              <a:latin typeface="Arial Black" panose="020B0A04020102020204" pitchFamily="34" charset="0"/>
            </a:rPr>
            <a:t>JP SALES</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0.02033</cdr:y>
    </cdr:from>
    <cdr:to>
      <cdr:x>0.60103</cdr:x>
      <cdr:y>0.13138</cdr:y>
    </cdr:to>
    <cdr:sp macro="" textlink="">
      <cdr:nvSpPr>
        <cdr:cNvPr id="2" name="Rectangle 1">
          <a:extLst xmlns:a="http://schemas.openxmlformats.org/drawingml/2006/main">
            <a:ext uri="{FF2B5EF4-FFF2-40B4-BE49-F238E27FC236}">
              <a16:creationId xmlns:a16="http://schemas.microsoft.com/office/drawing/2014/main" id="{C38730C0-E4D2-432C-A746-CDDC9198D210}"/>
            </a:ext>
          </a:extLst>
        </cdr:cNvPr>
        <cdr:cNvSpPr/>
      </cdr:nvSpPr>
      <cdr:spPr>
        <a:xfrm xmlns:a="http://schemas.openxmlformats.org/drawingml/2006/main">
          <a:off x="0" y="50800"/>
          <a:ext cx="1375508" cy="2774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400">
              <a:latin typeface="Arial Black" panose="020B0A04020102020204" pitchFamily="34" charset="0"/>
            </a:rPr>
            <a:t>TOP GAMES</a:t>
          </a:r>
        </a:p>
      </cdr:txBody>
    </cdr:sp>
  </cdr:relSizeAnchor>
</c:userShapes>
</file>

<file path=xl/drawings/drawing4.xml><?xml version="1.0" encoding="utf-8"?>
<c:userShapes xmlns:c="http://schemas.openxmlformats.org/drawingml/2006/chart">
  <cdr:relSizeAnchor xmlns:cdr="http://schemas.openxmlformats.org/drawingml/2006/chartDrawing">
    <cdr:from>
      <cdr:x>0.0131</cdr:x>
      <cdr:y>0.02985</cdr:y>
    </cdr:from>
    <cdr:to>
      <cdr:x>0.4214</cdr:x>
      <cdr:y>0.199</cdr:y>
    </cdr:to>
    <cdr:sp macro="" textlink="">
      <cdr:nvSpPr>
        <cdr:cNvPr id="2" name="Rectangle: Rounded Corners 1">
          <a:extLst xmlns:a="http://schemas.openxmlformats.org/drawingml/2006/main">
            <a:ext uri="{FF2B5EF4-FFF2-40B4-BE49-F238E27FC236}">
              <a16:creationId xmlns:a16="http://schemas.microsoft.com/office/drawing/2014/main" id="{A4EC4DD9-F009-4AAF-B186-814A4717FE25}"/>
            </a:ext>
          </a:extLst>
        </cdr:cNvPr>
        <cdr:cNvSpPr/>
      </cdr:nvSpPr>
      <cdr:spPr>
        <a:xfrm xmlns:a="http://schemas.openxmlformats.org/drawingml/2006/main">
          <a:off x="58614" y="58615"/>
          <a:ext cx="1826847" cy="332153"/>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l"/>
          <a:r>
            <a:rPr lang="en-US" sz="1400">
              <a:latin typeface="Arial Black" panose="020B0A04020102020204" pitchFamily="34" charset="0"/>
            </a:rPr>
            <a:t>GLOBAL TREND</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5869.66121215278" createdVersion="8" refreshedVersion="8" minRefreshableVersion="3" recordCount="799" xr:uid="{AE27B53E-AA43-4237-A46C-C27D61B5DD34}">
  <cacheSource type="worksheet">
    <worksheetSource name="Table3"/>
  </cacheSource>
  <cacheFields count="11">
    <cacheField name="Rank" numFmtId="0">
      <sharedItems containsSemiMixedTypes="0" containsString="0" containsNumber="1" containsInteger="1" minValue="1" maxValue="800"/>
    </cacheField>
    <cacheField name="Name" numFmtId="0">
      <sharedItems count="671">
        <s v="Wii Sports"/>
        <s v="Super Mario Bros."/>
        <s v="Mario Kart Wii"/>
        <s v="Wii Sports Resort"/>
        <s v="Pokemon Red/Pokemon Blue"/>
        <s v="Tetris"/>
        <s v="New Super Mario Bros."/>
        <s v="Wii Play"/>
        <s v="New Super Mario Bros. Wii"/>
        <s v="Duck Hunt"/>
        <s v="Nintendogs"/>
        <s v="Mario Kart DS"/>
        <s v="Pokemon Gold/Pokemon Silver"/>
        <s v="Wii Fit"/>
        <s v="Wii Fit Plus"/>
        <s v="Kinect Adventures!"/>
        <s v="Grand Theft Auto V"/>
        <s v="Grand Theft Auto: San Andreas"/>
        <s v="Super Mario World"/>
        <s v="Brain Age: Train Your Brain in Minutes a Day"/>
        <s v="Pokemon Diamond/Pokemon Pearl"/>
        <s v="Super Mario Land"/>
        <s v="Super Mario Bros. 3"/>
        <s v="Grand Theft Auto: Vice City"/>
        <s v="Pokemon Ruby/Pokemon Sapphire"/>
        <s v="Pokemon Black/Pokemon White"/>
        <s v="Brain Age 2: More Training in Minutes a Day"/>
        <s v="Gran Turismo 3: A-Spec"/>
        <s v="Call of Duty: Modern Warfare 3"/>
        <s v="PokÃ©mon Yellow: Special Pikachu Edition"/>
        <s v="Call of Duty: Black Ops"/>
        <s v="Pokemon X/Pokemon Y"/>
        <s v="Call of Duty: Black Ops 3"/>
        <s v="Call of Duty: Black Ops II"/>
        <s v="Call of Duty: Modern Warfare 2"/>
        <s v="Grand Theft Auto III"/>
        <s v="Super Smash Bros. Brawl"/>
        <s v="Animal Crossing: Wild World"/>
        <s v="Mario Kart 7"/>
        <s v="Halo 3"/>
        <s v="Pokemon HeartGold/Pokemon SoulSilver"/>
        <s v="Super Mario 64"/>
        <s v="Gran Turismo 4"/>
        <s v="Super Mario Galaxy"/>
        <s v="Pokemon Omega Ruby/Pokemon Alpha Sapphire"/>
        <s v="Super Mario Land 2: 6 Golden Coins"/>
        <s v="Grand Theft Auto IV"/>
        <s v="Gran Turismo"/>
        <s v="Super Mario 3D Land"/>
        <s v="Gran Turismo 5"/>
        <s v="Super Mario All-Stars"/>
        <s v="Pokemon FireRed/Pokemon LeafGreen"/>
        <s v="Just Dance 3"/>
        <s v="Call of Duty: Ghosts"/>
        <s v="Halo: Reach"/>
        <s v="Mario Kart 64"/>
        <s v="New Super Mario Bros. 2"/>
        <s v="Halo 4"/>
        <s v="Final Fantasy VII"/>
        <s v="Just Dance 2"/>
        <s v="Gran Turismo 2"/>
        <s v="Call of Duty 4: Modern Warfare"/>
        <s v="Donkey Kong Country"/>
        <s v="Minecraft"/>
        <s v="Animal Crossing: New Leaf"/>
        <s v="Mario Party DS"/>
        <s v="The Elder Scrolls V: Skyrim"/>
        <s v="Super Mario Kart"/>
        <s v="FIFA 16"/>
        <s v="Wii Party"/>
        <s v="Halo 2"/>
        <s v="Mario Party 8"/>
        <s v="Pokemon Black 2/Pokemon White 2"/>
        <s v="FIFA Soccer 13"/>
        <s v="The Sims 3"/>
        <s v="GoldenEye 007"/>
        <s v="Mario &amp; Sonic at the Olympic Games"/>
        <s v="Final Fantasy X"/>
        <s v="Final Fantasy VIII"/>
        <s v="PokÃ©mon Platinum Version"/>
        <s v="Pac-Man"/>
        <s v="Grand Theft Auto: Liberty City Stories"/>
        <s v="Super Mario Galaxy 2"/>
        <s v="Star Wars Battlefront (2015)"/>
        <s v="Call of Duty: Advanced Warfare"/>
        <s v="The Legend of Zelda: Ocarina of Time"/>
        <s v="Crash Bandicoot 2: Cortex Strikes Back"/>
        <s v="Super Mario Bros. 2"/>
        <s v="Super Smash Bros. for Wii U and 3DS"/>
        <s v="Call of Duty: World at War"/>
        <s v="Battlefield 3"/>
        <s v="The Legend of Zelda: Twilight Princess"/>
        <s v="Just Dance"/>
        <s v="Need for Speed Underground"/>
        <s v="Tekken 3"/>
        <s v="Crash Bandicoot 3: Warped"/>
        <s v="Super Smash Bros. Melee"/>
        <s v="Mario Kart 8"/>
        <s v="Fallout 4"/>
        <s v="Mario Kart: Double Dash!!"/>
        <s v="Just Dance 4"/>
        <s v="FIFA 14"/>
        <s v="Need for Speed Underground 2"/>
        <s v="Medal of Honor: Frontline"/>
        <s v="Uncharted 3: Drake's Deception"/>
        <s v="Crash Bandicoot"/>
        <s v="Zumba Fitness"/>
        <s v="Gears of War 2"/>
        <s v="Uncharted 2: Among Thieves"/>
        <s v="FIFA 12"/>
        <s v="Big Brain Academy"/>
        <s v="Red Dead Redemption"/>
        <s v="FIFA 15"/>
        <s v="Donkey Kong Country Returns"/>
        <s v="The Legend of Zelda"/>
        <s v="Assassin's Creed III"/>
        <s v="Halo: Combat Evolved"/>
        <s v="PokÃ©mon Emerald Version"/>
        <s v="Kingdom Hearts"/>
        <s v="PokÃ©mon Crystal Version"/>
        <s v="Halo 3: ODST"/>
        <s v="Super Mario Sunshine"/>
        <s v="Street Fighter II: The World Warrior"/>
        <s v="World of Warcraft"/>
        <s v="Driver"/>
        <s v="Kinect Sports"/>
        <s v="Gears of War 3"/>
        <s v="Gears of War"/>
        <s v="Metal Gear Solid 2: Sons of Liberty"/>
        <s v="Sonic the Hedgehog 2"/>
        <s v="Metal Gear Solid 4: Guns of the Patriots"/>
        <s v="Metal Gear Solid"/>
        <s v="The Last of Us"/>
        <s v="Final Fantasy XII"/>
        <s v="LittleBigPlanet"/>
        <s v="Dragon Quest IX: Sentinels of the Starry Skies"/>
        <s v="LEGO Star Wars: The Complete Saga"/>
        <s v="Resident Evil 2"/>
        <s v="Tekken 2"/>
        <s v="Cooking Mama"/>
        <s v="Destiny"/>
        <s v="Assassin's Creed II"/>
        <s v="Super Smash Bros."/>
        <s v="Assassin's Creed"/>
        <s v="Batman: Arkham City"/>
        <s v="Forza Motorsport 3"/>
        <s v="Monster Hunter Freedom Unite"/>
        <s v="Super Mario Advance"/>
        <s v="Mario Kart: Super Circuit"/>
        <s v="Pokemon Stadium"/>
        <s v="Crash Bandicoot: The Wrath of Cortex"/>
        <s v="Final Fantasy XIII"/>
        <s v="Dr. Mario"/>
        <s v="Pokemon Pinball"/>
        <s v="Final Fantasy IX"/>
        <s v="Final Fantasy X-2"/>
        <s v="Donkey Kong 64"/>
        <s v="Professor Layton and the Curious Village"/>
        <s v="Tomb Raider II"/>
        <s v="Madden NFL 2004"/>
        <s v="Dragon Quest VIII: Journey of the Cursed King"/>
        <s v="Diablo III"/>
        <s v="New Super Mario Bros. U"/>
        <s v="Super Mario Land 3: Wario Land"/>
        <s v="The Legend of Zelda: Phantom Hourglass"/>
        <s v="Donkey Kong Country 2: Diddy's Kong Quest"/>
        <s v="Tomodachi Life"/>
        <s v="Medal of Honor: Rising Sun"/>
        <s v="Kirby's Dream Land"/>
        <s v="Fable III"/>
        <s v="Microsoft Flight Simulator"/>
        <s v="Guitar Hero II"/>
        <s v="Resident Evil 5"/>
        <s v="Grand Theft Auto: Vice City Stories"/>
        <s v="FIFA Soccer 11"/>
        <s v="Resident Evil"/>
        <s v="Tony Hawk's Pro Skater"/>
        <s v="Warzone 2100"/>
        <s v="Spyro the Dragon"/>
        <s v="Link's Crossbow Training"/>
        <s v="Guitar Hero III: Legends of Rock"/>
        <s v="Fallout 3"/>
        <s v="Pokemon Mystery Dungeon: Explorers of Time/Explorers of Darkness"/>
        <s v="Uncharted: Drake's Fortune"/>
        <s v="Madden NFL 06"/>
        <s v="Diddy Kong Racing"/>
        <s v="Monster Hunter Freedom 3"/>
        <s v="God of War III"/>
        <s v="StarCraft II: Wings of Liberty"/>
        <s v="Crash Team Racing"/>
        <s v="FIFA 17"/>
        <s v="Driver 2"/>
        <s v="The Simpsons: Hit &amp; Run"/>
        <s v="Tony Hawk's Pro Skater 2"/>
        <s v="Animal Crossing: City Folk"/>
        <s v="The Lord of the Rings: The Two Towers"/>
        <s v="Forza Motorsport 4"/>
        <s v="Tomb Raider"/>
        <s v="The Legend of Zelda: A Link to the Past"/>
        <s v="The Legend of Zelda: The Wind Waker"/>
        <s v="Mario &amp; Sonic at the Olympic Winter Games"/>
        <s v="Luigi's Mansion: Dark Moon"/>
        <s v="Splatoon"/>
        <s v="Madden NFL 2005"/>
        <s v="Pitfall!"/>
        <s v="Madden NFL 07"/>
        <s v="Spider-Man: The Movie"/>
        <s v="Dragon Quest VII: Warriors of Eden"/>
        <s v="Uncharted: The Nathan Drake Collection"/>
        <s v="God of War"/>
        <s v="Nintendo Land"/>
        <s v="Michael Jackson: The Experience"/>
        <s v="Tony Hawk's Pro Skater 3"/>
        <s v="Winning Eleven: Pro Evolution Soccer 2007"/>
        <s v="The Elder Scrolls IV: Oblivion"/>
        <s v="Zelda II: The Adventure of Link"/>
        <s v="Need for Speed: Most Wanted"/>
        <s v="Resistance: Fall of Man"/>
        <s v="Sonic the Hedgehog"/>
        <s v="Kingdom Hearts II"/>
        <s v="Asteroids"/>
        <s v="Fable II"/>
        <s v="Halo 5: Guardians"/>
        <s v="Super Mario 3D World"/>
        <s v="Batman: Arkham Asylum"/>
        <s v="Assassin's Creed: Revelations"/>
        <s v="Namco Museum"/>
        <s v="Metal Gear Solid 3: Snake Eater"/>
        <s v="Daxter"/>
        <s v="Warcraft II: Tides of Darkness"/>
        <s v="FIFA Soccer 06"/>
        <s v="EyeToy Play"/>
        <s v="Uncharted 4: A Thief's End"/>
        <s v="Gran Turismo 5 Prologue"/>
        <s v="Street Fighter IV"/>
        <s v="Teenage Mutant Ninja Turtles"/>
        <s v="Excitebike"/>
        <s v="Frogger"/>
        <s v="Madden NFL 2003"/>
        <s v="Watch Dogs"/>
        <s v="Half-Life"/>
        <s v="Super Mario World 2: Yoshi's Island"/>
        <s v="FIFA Soccer 07"/>
        <s v="The Legend of Zelda: Skyward Sword"/>
        <s v="Street Fighter II Turbo"/>
        <s v="Carnival Games"/>
        <s v="World of Warcraft: The Burning Crusade"/>
        <s v="Fallout: New Vegas"/>
        <s v="God of War II"/>
        <s v="Forza Motorsport 2"/>
        <s v="World Soccer Winning Eleven 9"/>
        <s v="Namco Museum Vol.3"/>
        <s v="Tekken Tag Tournament"/>
        <s v="Far Cry 4"/>
        <s v="Star Fox 64"/>
        <s v="Golf"/>
        <s v="Professor Layton and the Diabolical Box"/>
        <s v="Left 4 Dead 2"/>
        <s v="Namco Museum: 50th Anniversary"/>
        <s v="EA Sports Active"/>
        <s v="Assassin's Creed: Unity"/>
        <s v="Donkey Kong Land"/>
        <s v="Tony Hawk's Underground"/>
        <s v="Assassin's Creed IV: Black Flag"/>
        <s v="Monster Hunter 4 Ultimate"/>
        <s v="MotorStorm"/>
        <s v="Tekken 5"/>
        <s v="Dragon Warrior III"/>
        <s v="Sports Champions"/>
        <s v="NBA 2K16"/>
        <s v="World Soccer Winning Eleven 8 International"/>
        <s v="Flash Focus: Vision Training in Minutes a Day"/>
        <s v="Namco Museum Vol.1"/>
        <s v="The Legend of Zelda: Link's Awakening"/>
        <s v="Mario &amp; Luigi: Bowser's Inside Story"/>
        <s v="Big Brain Academy: Wii Degree"/>
        <s v="Nintendogs + cats"/>
        <s v="Batman: Arkham Knight"/>
        <s v="Mario &amp; Sonic at the London 2012 Olympic Games"/>
        <s v="LEGO Indiana Jones: The Original Adventures"/>
        <s v="Resident Evil Director's Cut"/>
        <s v="Ratchet &amp; Clank: Size Matters"/>
        <s v="Just Dance 2014"/>
        <s v="The Sims: Unleashed"/>
        <s v="Super Paper Mario"/>
        <s v="Harry Potter and the Sorcerer's Stone"/>
        <s v="The Witcher 3: Wild Hunt"/>
        <s v="Resident Evil 3: Nemesis"/>
        <s v="Spyro: Year of the Dragon"/>
        <s v="FIFA Soccer 2005"/>
        <s v="PokÃ©mon Trading Card Game"/>
        <s v="Battlefield 4"/>
        <s v="MySims"/>
        <s v="Friend Collection"/>
        <s v="Tony Hawk's Pro Skater 4"/>
        <s v="Midnight Club 3: DUB Edition"/>
        <s v="Banjo-Kazooie"/>
        <s v="SOCOM: U.S. Navy SEALs"/>
        <s v="Guitar Hero: World Tour"/>
        <s v="Gran Turismo 6"/>
        <s v="Jak and Daxter: The Precursor Legacy"/>
        <s v="Pokemon Snap"/>
        <s v="FIFA Soccer 10"/>
        <s v="Pro Evolution Soccer 2008"/>
        <s v="Resident Evil 4"/>
        <s v="Tom Clancy's The Division"/>
        <s v="Star Wars: Battlefront"/>
        <s v="Doom II: Hell on Earth"/>
        <s v="The Simpsons: Road Rage"/>
        <s v="Cooking Mama 2: Dinner With Friends"/>
        <s v="Luigi's Mansion"/>
        <s v="Star Wars: Battlefront II"/>
        <s v="WWF SmackDown!"/>
        <s v="Croc: Legend of the Gobbos"/>
        <s v="The Getaway"/>
        <s v="Tomb Raider III: Adventures of Lara Croft"/>
        <s v="James Bond 007: Agent Under Fire"/>
        <s v="LEGO Star Wars: The Video Game"/>
        <s v="Rugrats in Paris: The Movie"/>
        <s v="Spyro 2: Ripto's Rage!"/>
        <s v="Left 4 Dead"/>
        <s v="Donkey Kong Country 3: Dixie Kong's Double Trouble!"/>
        <s v="Assassin's Creed: Brotherhood"/>
        <s v="Kung Fu"/>
        <s v="Clubhouse Games"/>
        <s v="FIFA Soccer 2004"/>
        <s v="Battlefield: Bad Company 2"/>
        <s v="Guitar Hero: On Tour"/>
        <s v="Far Cry 3"/>
        <s v="Monster Hunter 4"/>
        <s v="Borderlands"/>
        <s v="Tekken 4"/>
        <s v="LittleBigPlanet 2"/>
        <s v="Grand Theft Auto 2"/>
        <s v="Final Fantasy III"/>
        <s v="Spider-Man 2"/>
        <s v="F-1 Race"/>
        <s v="FIFA Soccer 2003"/>
        <s v="Crash Bash"/>
        <s v="LEGO Batman: The Videogame"/>
        <s v="Metal Gear Solid V: The Phantom Pain"/>
        <s v="The Legend of Zelda: Spirit Tracks"/>
        <s v="WWF War Zone"/>
        <s v="The Legend of Zelda: Majora's Mask"/>
        <s v="Professor Layton and the Unwound Future"/>
        <s v="Rugrats: Search For Reptar"/>
        <s v="English Training: Have Fun Improving Your Skills!"/>
        <s v="James Bond 007: Nightfire"/>
        <s v="Ratchet &amp; Clank"/>
        <s v="Mario Party 9"/>
        <s v="Star Wars Episode III: Revenge of the Sith"/>
        <s v="Max Payne"/>
        <s v="The Lord of the Rings: The Return of the King"/>
        <s v="Assassin's Creed Syndicate"/>
        <s v="True Crime: Streets of LA"/>
        <s v="Wii Music"/>
        <s v="Gran Turismo (PSP)"/>
        <s v="Monster Hunter X"/>
        <s v="Tekken"/>
        <s v="L.A. Noire"/>
        <s v="Madden NFL 16"/>
        <s v="Yokai Watch 2 Ganso/Honke"/>
        <s v="007: Tomorrow Never Dies"/>
        <s v="Baseball"/>
        <s v="Killer Instinct"/>
        <s v="WWF SmackDown! 2: Know Your Role"/>
        <s v="Crisis Core: Final Fantasy VII"/>
        <s v="God of War: Chains of Olympus"/>
        <s v="Dragon Quest VI: Maboroshi no Daichi"/>
        <s v="Dance Central"/>
        <s v="Enter the Matrix"/>
        <s v="Super Mario Maker"/>
        <s v="Rhythm Heaven"/>
        <s v="Ace Combat 04: Shattered Skies"/>
        <s v="Club Penguin: Elite Penguin Force"/>
        <s v="Animal Crossing"/>
        <s v="Sonic Rush"/>
        <s v="Resident Evil 6"/>
        <s v="Halo: The Master Chief Collection"/>
        <s v="FIFA Soccer 08"/>
        <s v="Spider-Man"/>
        <s v="Need for Speed III: Hot Pursuit"/>
        <s v="Star Wars Episode I Racer"/>
        <s v="Personal Trainer: Cooking"/>
        <s v="Dragon Warrior IV"/>
        <s v="Heavy Rain"/>
        <s v="Mass Effect 2"/>
        <s v="Dragon Ball Z: Budokai"/>
        <s v="Madden NFL 2002"/>
        <s v="World Class Track Meet"/>
        <s v="Borderlands 2"/>
        <s v="The Legend of Zelda: A Link Between Worlds"/>
        <s v="Donkey Kong"/>
        <s v="The Sims: Vacation"/>
        <s v="Mass Effect 3"/>
        <s v="Kung Fu Panda"/>
        <s v="Epic Mickey"/>
        <s v="Saints Row 2"/>
        <s v="Rayman"/>
        <s v="Killzone 2"/>
        <s v="Tom Clancy's Splinter Cell"/>
        <s v="Mike Tyson's Punch-Out!!"/>
        <s v="WWE SmackDown! Shut Your Mouth"/>
        <s v="Gears of War: Ultimate Edition"/>
        <s v="NBA 2K13"/>
        <s v="Dragon Ball Z: Budokai Tenkaichi 3"/>
        <s v="wwe Smackdown vs. Raw 2006"/>
        <s v="Middle-Earth: Shadow of Mordor"/>
        <s v="Star Fox"/>
        <s v="The Sims: Livin Large"/>
        <s v="World Soccer Winning Eleven 6 International"/>
        <s v="Devil May Cry"/>
        <s v="Animal Crossing: Happy Home Designer"/>
        <s v="The Sims 4"/>
        <s v="Star Wars: The Old Republic"/>
        <s v="Sonic Heroes"/>
        <s v="Kirby Super Star Ultra"/>
        <s v="Hitman 2: Silent Assassin"/>
        <s v="Wave Race 64"/>
        <s v="SOCOM II: U.S. Navy SEALs"/>
        <s v="WWE SmackDown! vs. RAW 2006"/>
        <s v="inFAMOUS"/>
        <s v="Pac-Man Collection"/>
        <s v="Mass Effect"/>
        <s v="WarioWare: Smooth Moves"/>
        <s v="Cooking Mama: Cook Off"/>
        <s v="Titanfall"/>
        <s v="Sonic Mega Collection Plus"/>
        <s v="Sega Superstars Tennis"/>
        <s v="World Soccer Winning Eleven 7 International"/>
        <s v="Hot Shots Golf 3"/>
        <s v="Call of Duty: Finest Hour"/>
        <s v="Zumba Fitness 2"/>
        <s v="Syphon Filter"/>
        <s v="Imagine: Babyz"/>
        <s v="Colin McRae Rally"/>
        <s v="Madden NFL 13"/>
        <s v="The Elder Scrolls III: Morrowind"/>
        <s v="Mortal Kombat"/>
        <s v="F-Zero"/>
        <s v="Yoshi's Story"/>
        <s v="Command &amp; Conquer: Red Alert"/>
        <s v="Skylanders: Spyro's Adventure"/>
        <s v="BioShock"/>
        <s v="Madden NFL 10"/>
        <s v="Medal of Honor"/>
        <s v="WWE SmackDown! vs. Raw"/>
        <s v="Metroid Prime"/>
        <s v="Finding Nemo"/>
        <s v="Myst"/>
        <s v="Need for Speed: Hot Pursuit"/>
        <s v="Imagine: Fashion Designer"/>
        <s v="WWE SmackDown! Here Comes the Pain"/>
        <s v="Star Wars: The Force Unleashed"/>
        <s v="Yoshi's Island DS"/>
        <s v="Hot Shots Golf"/>
        <s v="Killzone 3"/>
        <s v="A Bug's Life"/>
        <s v="WWF SmackDown! Just Bring It"/>
        <s v="Dragon Quest V: Tenkuu no Hanayome"/>
        <s v="Mortal Kombat Trilogy"/>
        <s v="NBA Street"/>
        <s v="Professor Layton and the Last Specter"/>
        <s v="Monster Hunter Tri"/>
        <s v="Jak II"/>
        <s v="inFAMOUS: Second Son"/>
        <s v="Ratchet &amp; Clank: Going Commando"/>
        <s v="Tekken 6"/>
        <s v="The Sims"/>
        <s v="Sonic and the Secret Rings"/>
        <s v="Saints Row: The Third"/>
        <s v="Missile Command"/>
        <s v="Mario Paint"/>
        <s v="PokÃ©mon Stadium 2"/>
        <s v="Metroid"/>
        <s v="Call of Duty 3"/>
        <s v="Onimusha: Warlords"/>
        <s v="Mortal Kombat X"/>
        <s v="Mario Party"/>
        <s v="Madden NFL 12"/>
        <s v="LEGO Star Wars II: The Original Trilogy"/>
        <s v="Madden NFL 11"/>
        <s v="Mario vs. Donkey Kong: Mini-Land Mayhem!"/>
        <s v="Skate 3"/>
        <s v="Burnout 3: Takedown"/>
        <s v="Yokai Watch 2 Shinuchi"/>
        <s v="Need for Speed: Shift"/>
        <s v="Final Fantasy XIII-2"/>
        <s v="Call Of Duty 2: Big Red One"/>
        <s v="Fable"/>
        <s v="Hannah Montana"/>
        <s v="Skylanders Giants"/>
        <s v="Medal of Honor Heroes"/>
        <s v="Super Mario Bros.: The Lost Levels"/>
        <s v="Star Wars: Shadows of the Empire"/>
        <s v="Midnight Club: Street Racing"/>
        <s v="Pac-Man: Adventures in Time"/>
        <s v="Halo Wars"/>
        <s v="God of War Collection"/>
        <s v="ESPN NFL 2K5"/>
        <s v="Mario Strikers Charged"/>
        <s v="NBA 2K12"/>
        <s v="Style Savvy"/>
        <s v="Harry Potter and the Chamber of Secrets"/>
        <s v="Super Mario All-Stars: Limited Edition"/>
        <s v="Streets of Rage"/>
        <s v="FIFA Soccer 09"/>
        <s v="Ratchet &amp; Clank Future: Tools of Destruction"/>
        <s v="NBA Live 2005"/>
        <s v="Killzone: Shadow Fall"/>
        <s v="Ghostbusters: The Video Game (DS Version)"/>
        <s v="Monster Hunter Freedom 2"/>
        <s v="WWE SmackDown vs. RAW 2007"/>
        <s v="Ratchet &amp; Clank: Up Your Arsenal"/>
        <s v="Art Academy"/>
        <s v="Dragon Age: Origins"/>
        <s v="Madden NFL 08"/>
        <s v="Sonic Adventure 2 Battle"/>
        <s v="Dragon Warrior II"/>
        <s v="PokÃ©mon Colosseum"/>
        <s v="Deca Sports"/>
        <s v="Madden NFL 09"/>
        <s v="Space Invaders"/>
        <s v="Crazy Taxi"/>
        <s v="Perfect Dark"/>
        <s v="Game Party"/>
        <s v="Dragon Warrior"/>
        <s v="Tomb Raider (2013)"/>
        <s v="Marvel: Ultimate Alliance"/>
        <s v="PES 2009: Pro Evolution Soccer"/>
        <s v="Mario Party 2"/>
        <s v="Rockstar Games Double Pack: Grand Theft Auto III &amp; Grand Theft Auto Vice City"/>
        <s v="LEGO Harry Potter: Years 1-4"/>
        <s v="Mortal Kombat: Deadly Alliance"/>
        <s v="Resistance 2"/>
        <s v="Pure"/>
        <s v="Tomb Raider: The Last Revelation"/>
        <s v="Rock Band"/>
        <s v="NBA 2K14"/>
        <s v="Mario Party 4"/>
        <s v="uDraw Studio"/>
        <s v="Midnight Club: Los Angeles"/>
        <s v="Final Fantasy V"/>
        <s v="Final Fantasy Tactics"/>
        <s v="Twisted Metal 2"/>
        <s v="Halo: Combat Evolved Anniversary"/>
        <s v="Need for Speed Carbon: Own the City"/>
        <s v="The Sims: Bustin' Out"/>
        <s v="Riven: The Sequel to Myst"/>
        <s v="Tom Clancy's Rainbow Six: Vegas 2"/>
        <s v="Sonic Adventure"/>
        <s v="Ice Hockey"/>
        <s v="pro evolution soccer 2011"/>
        <s v="Dragon Ball Z: Budokai 2"/>
        <s v="ATV Offroad Fury"/>
        <s v="Dino Crisis"/>
        <s v="Need for Speed: ProStreet"/>
        <s v="Tetris Plus"/>
        <s v="Pro Wrestling"/>
        <s v="Theme Hospital"/>
        <s v="Frogger's Adventures: Temple of the Frog"/>
        <s v="Need for Speed (2015)"/>
        <s v="Monopoly"/>
        <s v="Batman: Arkham Origins"/>
        <s v="Dead Island"/>
        <s v="Guitar Hero"/>
        <s v="Kinect: Disneyland Adventures"/>
        <s v="WCW/nWo Revenge"/>
        <s v="Bloodborne"/>
        <s v="NBA 2K15"/>
        <s v="Yu-Gi-Oh! The Duelists of the Roses"/>
        <s v="Half-Life 2"/>
        <s v="The Incredibles"/>
        <s v="Tony Hawk's Underground 2"/>
        <s v="Kinect Sports: Season Two"/>
        <s v="Kirby's Dream Land 2"/>
        <s v="Donkey Kong Land II"/>
        <s v="Dragon Warrior Monsters"/>
        <s v="Skylanders SWAP Force"/>
        <s v="WWE SmackDown vs Raw 2008"/>
        <s v="My Fitness Coach"/>
        <s v="Resident Evil - Code: Veronica X"/>
        <s v="The Legend of Zelda: Majora's Mask 3D"/>
        <s v="Just Dance Kids"/>
        <s v="Mario Tennis"/>
        <s v="Grand Theft Auto"/>
        <s v="James Bond 007: Everything or Nothing"/>
        <s v="WarioWare Touched!"/>
        <s v="Need For Speed: High Stakes"/>
        <s v="Chrono Trigger"/>
        <s v="Cool Boarders 3"/>
        <s v="LEGO Marvel Super Heroes"/>
        <s v="Guild Wars 2"/>
        <s v="Pokemon Ranger: Shadows of Almia"/>
        <s v="God of War: Ascension"/>
        <s v="Pro Evolution Soccer 2010"/>
        <s v="Just Dance 2015"/>
        <s v="Yokai Watch Busters"/>
        <s v="Mario Bros."/>
        <s v="TOCA Touring Car Championship"/>
        <s v="Paper Mario: Sticker Star"/>
        <s v="Sonic's Ultimate Genesis Collection"/>
        <s v="Super Monkey Ball: Banana Blitz"/>
        <s v="Kirby: Nightmare in Dream Land"/>
        <s v="Wario Land 4"/>
        <s v="Onimusha 2: Samurai's Destiny"/>
        <s v="Cool Boarders 2"/>
        <s v="Paper Mario: The Thousand-Year Door"/>
        <s v="Dissidia: Final Fantasy"/>
        <s v="Sonic Advance"/>
        <s v="Spyro: Season of Ice"/>
        <s v="Teenage Mutant Ninja Turtles II: The Arcade Game"/>
        <s v="Dance Dance Revolution X2"/>
        <s v="New Super Luigi U"/>
        <s v="Prince of Persia: The Sands of Time"/>
        <s v="Scribblenauts"/>
        <s v="The Legend of Zelda: Link's Awakening DX"/>
        <s v="BioShock 2"/>
        <s v="Devil May Cry 3: Dante's Awakening Special Edition"/>
        <s v="Rock Band 2"/>
        <s v="Wario Land 3"/>
        <s v="Pro Yakyuu Family Stadium"/>
        <s v="Sonic Unleashed"/>
        <s v="High School Musical: Makin' the Cut!"/>
        <s v="Pro Evolution Soccer 2012"/>
        <s v="Saints Row"/>
        <s v="Star Wars: Knights of the Old Republic"/>
        <s v="Kirby's Pinball Land"/>
        <s v="Hitman: Absolution"/>
        <s v="Yu-Gi-Oh: Duel Monsters 4"/>
        <s v="ATV Offroad Fury 2"/>
        <s v="Forza Motorsport 5"/>
        <s v="Madden NFL 25"/>
        <s v="Pokemon Ranger"/>
        <s v="Mario &amp; Luigi: Superstar Saga"/>
        <s v="Star Wars: Rogue Squadron"/>
        <s v="Tennis"/>
        <s v="The Sims: House Party"/>
        <s v="Your Shape featuring Jenny McCarthy"/>
        <s v="Syphon Filter 2"/>
        <s v="Tom Clancy's Rainbow Six: Siege"/>
        <s v="Volleyball"/>
        <s v="Call of Duty: Roads to Victory"/>
        <s v="Super Mario RPG: Legend of the Seven Stars"/>
        <s v="Mahjong"/>
        <s v="R.C. Pro-Am"/>
        <s v="SimCity 2000"/>
        <s v="Demon Attack"/>
        <s v="Dance Dance Revolution Extreme"/>
        <s v="Tetris DS"/>
        <s v="Final Fantasy Tactics Advance"/>
        <s v="Far Cry: Primal"/>
        <s v="Toy Story 3: The Video Game"/>
        <s v="Kirby's Epic Yarn"/>
        <s v="Project Gotham Racing"/>
        <s v="Need for Speed: Hot Pursuit 2"/>
        <s v="Mario Sports Mix"/>
        <s v="Dynasty Warriors 4"/>
        <s v="Parasite Eve"/>
        <s v="Scooby-Doo! Night of 100 Frights"/>
        <s v="Project Gotham Racing (JP weekly sales)"/>
        <s v="Need for Speed: Most Wanted 5-1-0"/>
        <s v="Portal 2"/>
        <s v="Devil May Cry 3: Dante's Awakening"/>
        <s v="Derby Stallion"/>
        <s v="Dead Rising"/>
        <s v="NBA 2K11"/>
        <s v="Wipeout: The Game"/>
        <s v="The Sims 2: Pets"/>
        <s v="Battlefield: Hardline"/>
        <s v="Metal Gear Solid: Peace Walker"/>
      </sharedItems>
    </cacheField>
    <cacheField name="Platform" numFmtId="0">
      <sharedItems containsMixedTypes="1" containsNumber="1" containsInteger="1" minValue="2600" maxValue="2600" count="23">
        <s v="Wii"/>
        <s v="NES"/>
        <s v="GB"/>
        <s v="DS"/>
        <s v="X360"/>
        <s v="PS3"/>
        <s v="PS2"/>
        <s v="SNES"/>
        <s v="GBA"/>
        <s v="3DS"/>
        <s v="PS4"/>
        <s v="N64"/>
        <s v="PS"/>
        <s v="XB"/>
        <s v="PC"/>
        <n v="2600"/>
        <s v="PSP"/>
        <s v="XOne"/>
        <s v="GC"/>
        <s v="WiiU"/>
        <s v="GEN"/>
        <s v="DC"/>
        <s v="PSV"/>
      </sharedItems>
    </cacheField>
    <cacheField name="Year" numFmtId="0">
      <sharedItems containsMixedTypes="1" containsNumber="1" containsInteger="1" minValue="1980" maxValue="2016" count="38">
        <n v="2006"/>
        <n v="1985"/>
        <n v="2008"/>
        <n v="2009"/>
        <n v="1996"/>
        <n v="1989"/>
        <n v="1984"/>
        <n v="2005"/>
        <n v="1999"/>
        <n v="2007"/>
        <n v="2010"/>
        <n v="2013"/>
        <n v="2004"/>
        <n v="1990"/>
        <n v="1988"/>
        <n v="2002"/>
        <n v="2001"/>
        <n v="2011"/>
        <n v="1998"/>
        <n v="2015"/>
        <n v="2012"/>
        <n v="2014"/>
        <n v="1992"/>
        <n v="1997"/>
        <n v="1993"/>
        <n v="1994"/>
        <n v="1982"/>
        <n v="2003"/>
        <n v="1986"/>
        <n v="2000"/>
        <s v="N/A"/>
        <n v="1995"/>
        <n v="2016"/>
        <n v="1991"/>
        <n v="1981"/>
        <n v="1987"/>
        <n v="1980"/>
        <n v="1983"/>
      </sharedItems>
    </cacheField>
    <cacheField name="Genre" numFmtId="0">
      <sharedItems count="12">
        <s v="Sports"/>
        <s v="Platform"/>
        <s v="Racing"/>
        <s v="Role-Playing"/>
        <s v="Puzzle"/>
        <s v="Misc"/>
        <s v="Shooter"/>
        <s v="Simulation"/>
        <s v="Action"/>
        <s v="Fighting"/>
        <s v="Adventure"/>
        <s v="Strategy"/>
      </sharedItems>
    </cacheField>
    <cacheField name="Publisher" numFmtId="0">
      <sharedItems count="52">
        <s v="Nintendo"/>
        <s v="Microsoft Game Studios"/>
        <s v="Take-Two Interactive"/>
        <s v="Sony Computer Entertainment"/>
        <s v="Activision"/>
        <s v="Ubisoft"/>
        <s v="Bethesda Softworks"/>
        <s v="Electronic Arts"/>
        <s v="Sega"/>
        <s v="SquareSoft"/>
        <s v="Atari"/>
        <s v="505 Games"/>
        <s v="Capcom"/>
        <s v="GT Interactive"/>
        <s v="Konami Digital Entertainment"/>
        <s v="Sony Computer Entertainment Europe"/>
        <s v="Square Enix"/>
        <s v="LucasArts"/>
        <s v="Virgin Interactive"/>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N/A"/>
        <s v="Majesco Entertainment"/>
        <s v="Codemasters"/>
        <s v="Red Orb"/>
        <s v="Level 5"/>
        <s v="Arena Entertainment"/>
        <s v="Midway Games"/>
        <s v="JVC"/>
        <s v="Deep Silver"/>
        <s v="989 Studios"/>
        <s v="NCSoft"/>
        <s v="UEP Systems"/>
        <s v="Parker Bros."/>
        <s v="Maxis"/>
        <s v="Imagic"/>
        <s v="Tecmo Koei"/>
        <s v="Valve Software"/>
        <s v="ASCII Entertainment"/>
        <s v="Mindscape"/>
      </sharedItems>
    </cacheField>
    <cacheField name="NA_Sales" numFmtId="0">
      <sharedItems containsSemiMixedTypes="0" containsString="0" containsNumber="1" minValue="0" maxValue="41.49" count="379">
        <n v="41.49"/>
        <n v="29.08"/>
        <n v="15.85"/>
        <n v="15.75"/>
        <n v="11.27"/>
        <n v="23.2"/>
        <n v="11.38"/>
        <n v="14.03"/>
        <n v="14.59"/>
        <n v="26.93"/>
        <n v="9.07"/>
        <n v="9.81"/>
        <n v="9"/>
        <n v="8.94"/>
        <n v="9.09"/>
        <n v="14.97"/>
        <n v="7.01"/>
        <n v="9.43"/>
        <n v="12.78"/>
        <n v="4.75"/>
        <n v="6.42"/>
        <n v="10.83"/>
        <n v="9.5399999999999991"/>
        <n v="9.6300000000000008"/>
        <n v="8.41"/>
        <n v="6.06"/>
        <n v="5.57"/>
        <n v="3.44"/>
        <n v="6.85"/>
        <n v="9.0299999999999994"/>
        <n v="5.89"/>
        <n v="9.67"/>
        <n v="5.17"/>
        <n v="5.77"/>
        <n v="4.99"/>
        <n v="8.25"/>
        <n v="8.52"/>
        <n v="5.54"/>
        <n v="6.99"/>
        <n v="6.75"/>
        <n v="5.98"/>
        <n v="2.5499999999999998"/>
        <n v="4.74"/>
        <n v="7.97"/>
        <n v="3.8"/>
        <n v="4.4000000000000004"/>
        <n v="6.91"/>
        <n v="3.01"/>
        <n v="6.16"/>
        <n v="4.2300000000000004"/>
        <n v="6.76"/>
        <n v="4.0199999999999996"/>
        <n v="4.8899999999999997"/>
        <n v="2.96"/>
        <n v="4.76"/>
        <n v="5.99"/>
        <n v="4.34"/>
        <n v="5.08"/>
        <n v="6.05"/>
        <n v="6.72"/>
        <n v="7.03"/>
        <n v="5.55"/>
        <n v="3.66"/>
        <n v="6.63"/>
        <n v="4.09"/>
        <n v="5.84"/>
        <n v="3.88"/>
        <n v="5.91"/>
        <n v="4.3600000000000003"/>
        <n v="5.58"/>
        <n v="2.0099999999999998"/>
        <n v="4.46"/>
        <n v="5.03"/>
        <n v="3.54"/>
        <n v="1.1100000000000001"/>
        <n v="1.79"/>
        <n v="6.82"/>
        <n v="3.81"/>
        <n v="2.91"/>
        <n v="1.06"/>
        <n v="0.98"/>
        <n v="5.8"/>
        <n v="2.58"/>
        <n v="2.2799999999999998"/>
        <n v="2.82"/>
        <n v="7.28"/>
        <n v="2.9"/>
        <n v="2.93"/>
        <n v="2.8"/>
        <n v="4.0999999999999996"/>
        <n v="3.78"/>
        <n v="5.39"/>
        <n v="3.24"/>
        <n v="4.79"/>
        <n v="3.83"/>
        <n v="4.5199999999999996"/>
        <n v="3.51"/>
        <n v="2.85"/>
        <n v="3.27"/>
        <n v="3.68"/>
        <n v="4.41"/>
        <n v="3.13"/>
        <n v="2.4700000000000002"/>
        <n v="4.12"/>
        <n v="4.1399999999999997"/>
        <n v="0.78"/>
        <n v="2.71"/>
        <n v="2.77"/>
        <n v="3.23"/>
        <n v="3.5"/>
        <n v="4.1500000000000004"/>
        <n v="3.1"/>
        <n v="0.84"/>
        <n v="1.67"/>
        <n v="2.79"/>
        <n v="0.79"/>
        <n v="3.25"/>
        <n v="3.74"/>
        <n v="2.64"/>
        <n v="4.9800000000000004"/>
        <n v="2.57"/>
        <n v="3.64"/>
        <n v="3.7"/>
        <n v="4.01"/>
        <n v="7.0000000000000007E-2"/>
        <n v="3.11"/>
        <n v="3.92"/>
        <n v="4.05"/>
        <n v="2.4500000000000002"/>
        <n v="4.47"/>
        <n v="2.63"/>
        <n v="3.18"/>
        <n v="2.41"/>
        <n v="1.88"/>
        <n v="0.66"/>
        <n v="2.2599999999999998"/>
        <n v="2.4900000000000002"/>
        <n v="2.97"/>
        <n v="2.54"/>
        <n v="2.95"/>
        <n v="3.28"/>
        <n v="2.7"/>
        <n v="2.99"/>
        <n v="0.47"/>
        <n v="3.14"/>
        <n v="2.62"/>
        <n v="3.21"/>
        <n v="2.72"/>
        <n v="2.0699999999999998"/>
        <n v="1.97"/>
        <n v="1.74"/>
        <n v="2.1800000000000002"/>
        <n v="3.02"/>
        <n v="1.62"/>
        <n v="1.92"/>
        <n v="3.33"/>
        <n v="1.22"/>
        <n v="2.2999999999999998"/>
        <n v="4.26"/>
        <n v="0.65"/>
        <n v="2.4300000000000002"/>
        <n v="2.3199999999999998"/>
        <n v="1.08"/>
        <n v="1.9"/>
        <n v="2.1"/>
        <n v="0.96"/>
        <n v="1.64"/>
        <n v="1.98"/>
        <n v="3.59"/>
        <n v="3.22"/>
        <n v="1.96"/>
        <n v="2.66"/>
        <n v="1.7"/>
        <n v="0.6"/>
        <n v="3.4"/>
        <n v="2.0499999999999998"/>
        <n v="3.42"/>
        <n v="2.59"/>
        <n v="3.36"/>
        <n v="3.06"/>
        <n v="3.49"/>
        <n v="3.39"/>
        <n v="1.85"/>
        <n v="2.31"/>
        <n v="3.98"/>
        <n v="2.89"/>
        <n v="0"/>
        <n v="2.74"/>
        <n v="2.56"/>
        <n v="1.91"/>
        <n v="0.56999999999999995"/>
        <n v="0.28000000000000003"/>
        <n v="2.36"/>
        <n v="1.73"/>
        <n v="3.05"/>
        <n v="1.87"/>
        <n v="1.94"/>
        <n v="2.08"/>
        <n v="2.29"/>
        <n v="2.42"/>
        <n v="2.6"/>
        <n v="1.89"/>
        <n v="1.78"/>
        <n v="1.55"/>
        <n v="3.19"/>
        <n v="4.18"/>
        <n v="4.21"/>
        <n v="3.63"/>
        <n v="0.2"/>
        <n v="1.54"/>
        <n v="2.67"/>
        <n v="0.1"/>
        <n v="2.19"/>
        <n v="2.0299999999999998"/>
        <n v="3.03"/>
        <n v="2.2000000000000002"/>
        <n v="0.92"/>
        <n v="2.75"/>
        <n v="4"/>
        <n v="2.5099999999999998"/>
        <n v="2.11"/>
        <n v="2.23"/>
        <n v="1.41"/>
        <n v="3"/>
        <n v="1.46"/>
        <n v="0.88"/>
        <n v="1.3"/>
        <n v="1.28"/>
        <n v="2.25"/>
        <n v="2.02"/>
        <n v="3.38"/>
        <n v="2.04"/>
        <n v="3.79"/>
        <n v="1.4"/>
        <n v="4.03"/>
        <n v="1.65"/>
        <n v="0.71"/>
        <n v="2.14"/>
        <n v="1.42"/>
        <n v="2.13"/>
        <n v="2.65"/>
        <n v="2.35"/>
        <n v="0.12"/>
        <n v="1.68"/>
        <n v="1.1200000000000001"/>
        <n v="2.78"/>
        <n v="1.38"/>
        <n v="2.15"/>
        <n v="1.18"/>
        <n v="1.33"/>
        <n v="0.67"/>
        <n v="1.53"/>
        <n v="1.1499999999999999"/>
        <n v="0.93"/>
        <n v="2.12"/>
        <n v="2.48"/>
        <n v="0.16"/>
        <n v="0.87"/>
        <n v="2.21"/>
        <n v="1.44"/>
        <n v="1.49"/>
        <n v="1.1399999999999999"/>
        <n v="2.4"/>
        <n v="1.82"/>
        <n v="1.37"/>
        <n v="1.93"/>
        <n v="0.57999999999999996"/>
        <n v="1.59"/>
        <n v="2.5299999999999998"/>
        <n v="2.33"/>
        <n v="0.05"/>
        <n v="1.61"/>
        <n v="2.38"/>
        <n v="1.57"/>
        <n v="1.56"/>
        <n v="1.23"/>
        <n v="1.66"/>
        <n v="1.17"/>
        <n v="2.84"/>
        <n v="0.59"/>
        <n v="2.09"/>
        <n v="2.39"/>
        <n v="1.34"/>
        <n v="1.1299999999999999"/>
        <n v="0.86"/>
        <n v="1.75"/>
        <n v="0.46"/>
        <n v="1.43"/>
        <n v="1.63"/>
        <n v="1.45"/>
        <n v="1.47"/>
        <n v="1.99"/>
        <n v="1.5"/>
        <n v="0.8"/>
        <n v="1.36"/>
        <n v="0.5"/>
        <n v="0.25"/>
        <n v="0.95"/>
        <n v="1.27"/>
        <n v="0.03"/>
        <n v="1.72"/>
        <n v="0.73"/>
        <n v="1.76"/>
        <n v="1.35"/>
        <n v="1.48"/>
        <n v="1.52"/>
        <n v="1.86"/>
        <n v="2.06"/>
        <n v="0.68"/>
        <n v="0.91"/>
        <n v="1.69"/>
        <n v="0.08"/>
        <n v="1.29"/>
        <n v="2.17"/>
        <n v="2.5"/>
        <n v="1.01"/>
        <n v="1.58"/>
        <n v="1.04"/>
        <n v="2.2200000000000002"/>
        <n v="1.83"/>
        <n v="0.61"/>
        <n v="1.84"/>
        <n v="0.99"/>
        <n v="1.51"/>
        <n v="0.09"/>
        <n v="0.4"/>
        <n v="2.52"/>
        <n v="1.32"/>
        <n v="0.02"/>
        <n v="1.05"/>
        <n v="0.28999999999999998"/>
        <n v="1.19"/>
        <n v="0.89"/>
        <n v="0.3"/>
        <n v="1.2"/>
        <n v="1.24"/>
        <n v="1.25"/>
        <n v="1.07"/>
        <n v="1.02"/>
        <n v="0.69"/>
        <n v="1.95"/>
        <n v="2"/>
        <n v="0.76"/>
        <n v="0.63"/>
        <n v="0.9"/>
        <n v="0.48"/>
        <n v="0.64"/>
        <n v="0.37"/>
        <n v="1.31"/>
        <n v="0.15"/>
        <n v="1.21"/>
        <n v="0.49"/>
        <n v="0.13"/>
        <n v="1.81"/>
        <n v="1.26"/>
        <n v="0.81"/>
        <n v="0.77"/>
        <n v="1"/>
        <n v="1.1599999999999999"/>
        <n v="1.39"/>
        <n v="0.85"/>
        <n v="0.52"/>
        <n v="0.51"/>
        <n v="0.38"/>
        <n v="0.62"/>
        <n v="1.0900000000000001"/>
        <n v="1.71"/>
        <n v="1.03"/>
        <n v="0.34"/>
        <n v="1.6"/>
        <n v="0.54"/>
        <n v="0.14000000000000001"/>
        <n v="0.01"/>
        <n v="0.82"/>
        <n v="0.83"/>
        <n v="0.11"/>
        <n v="0.94"/>
        <n v="1.77"/>
        <n v="0.7"/>
      </sharedItems>
    </cacheField>
    <cacheField name="EU_Sales" numFmtId="0">
      <sharedItems containsSemiMixedTypes="0" containsString="0" containsNumber="1" minValue="0" maxValue="29.02" count="299">
        <n v="29.02"/>
        <n v="3.58"/>
        <n v="12.88"/>
        <n v="11.01"/>
        <n v="8.89"/>
        <n v="2.2599999999999998"/>
        <n v="9.23"/>
        <n v="9.1999999999999993"/>
        <n v="7.06"/>
        <n v="0.63"/>
        <n v="11"/>
        <n v="7.57"/>
        <n v="6.18"/>
        <n v="8.0299999999999994"/>
        <n v="8.59"/>
        <n v="4.9400000000000004"/>
        <n v="9.27"/>
        <n v="0.4"/>
        <n v="3.75"/>
        <n v="9.26"/>
        <n v="4.5199999999999996"/>
        <n v="2.71"/>
        <n v="3.44"/>
        <n v="5.31"/>
        <n v="5.49"/>
        <n v="3.9"/>
        <n v="3.28"/>
        <n v="5.36"/>
        <n v="5.09"/>
        <n v="4.28"/>
        <n v="5.04"/>
        <n v="3.73"/>
        <n v="4.05"/>
        <n v="5.81"/>
        <n v="5.88"/>
        <n v="4.3"/>
        <n v="3.63"/>
        <n v="5.82"/>
        <n v="4.51"/>
        <n v="2.61"/>
        <n v="4.4400000000000004"/>
        <n v="3.52"/>
        <n v="3.91"/>
        <n v="2.83"/>
        <n v="2.77"/>
        <n v="2.85"/>
        <n v="0.01"/>
        <n v="3.4"/>
        <n v="3.37"/>
        <n v="2.04"/>
        <n v="3.1"/>
        <n v="3.87"/>
        <n v="2.99"/>
        <n v="4.88"/>
        <n v="3.69"/>
        <n v="3.76"/>
        <n v="2.15"/>
        <n v="2.65"/>
        <n v="3.11"/>
        <n v="3.15"/>
        <n v="2.63"/>
        <n v="1.98"/>
        <n v="1.94"/>
        <n v="3.07"/>
        <n v="2.36"/>
        <n v="2.4700000000000002"/>
        <n v="2.89"/>
        <n v="3.42"/>
        <n v="2.38"/>
        <n v="1.71"/>
        <n v="2.3199999999999998"/>
        <n v="1.88"/>
        <n v="2.86"/>
        <n v="1.24"/>
        <n v="6.06"/>
        <n v="3.53"/>
        <n v="1.53"/>
        <n v="2.2999999999999998"/>
        <n v="1.86"/>
        <n v="5.05"/>
        <n v="6.42"/>
        <n v="2.0099999999999998"/>
        <n v="2.0699999999999998"/>
        <n v="1.72"/>
        <n v="1.78"/>
        <n v="0.45"/>
        <n v="2.42"/>
        <n v="3.29"/>
        <n v="3.3"/>
        <n v="1.89"/>
        <n v="2.17"/>
        <n v="1.18"/>
        <n v="1.35"/>
        <n v="1.9"/>
        <n v="2.13"/>
        <n v="2.19"/>
        <n v="2.09"/>
        <n v="3.03"/>
        <n v="2.93"/>
        <n v="2.2200000000000002"/>
        <n v="1.75"/>
        <n v="1.04"/>
        <n v="1.77"/>
        <n v="2.21"/>
        <n v="4.32"/>
        <n v="3.02"/>
        <n v="2.75"/>
        <n v="2.8"/>
        <n v="2.35"/>
        <n v="2.64"/>
        <n v="1.92"/>
        <n v="2.25"/>
        <n v="2.78"/>
        <n v="4.29"/>
        <n v="1.84"/>
        <n v="0.93"/>
        <n v="2.56"/>
        <n v="1.3"/>
        <n v="1.58"/>
        <n v="1.2"/>
        <n v="1.56"/>
        <n v="1.97"/>
        <n v="1.26"/>
        <n v="0.83"/>
        <n v="6.21"/>
        <n v="1.62"/>
        <n v="1.74"/>
        <n v="1.83"/>
        <n v="2.2799999999999998"/>
        <n v="0"/>
        <n v="2.0499999999999998"/>
        <n v="0.69"/>
        <n v="1.63"/>
        <n v="1.47"/>
        <n v="1.95"/>
        <n v="0.6"/>
        <n v="1.65"/>
        <n v="1.91"/>
        <n v="0.56999999999999995"/>
        <n v="1.64"/>
        <n v="1.1100000000000001"/>
        <n v="1.87"/>
        <n v="2.29"/>
        <n v="2.5099999999999998"/>
        <n v="0.96"/>
        <n v="1.1200000000000001"/>
        <n v="0.77"/>
        <n v="1.08"/>
        <n v="0.79"/>
        <n v="2.48"/>
        <n v="2.46"/>
        <n v="0.26"/>
        <n v="0.75"/>
        <n v="1.25"/>
        <n v="0.98"/>
        <n v="3.48"/>
        <n v="0.74"/>
        <n v="2.02"/>
        <n v="2.23"/>
        <n v="0.61"/>
        <n v="1.69"/>
        <n v="1.43"/>
        <n v="1.1599999999999999"/>
        <n v="1.38"/>
        <n v="1.06"/>
        <n v="1.36"/>
        <n v="1.03"/>
        <n v="1.73"/>
        <n v="1.54"/>
        <n v="0.99"/>
        <n v="1.68"/>
        <n v="2"/>
        <n v="3.14"/>
        <n v="1.57"/>
        <n v="1.31"/>
        <n v="2.1"/>
        <n v="1.41"/>
        <n v="0.91"/>
        <n v="1.99"/>
        <n v="1.39"/>
        <n v="1.1499999999999999"/>
        <n v="0.92"/>
        <n v="0.24"/>
        <n v="1.51"/>
        <n v="0.14000000000000001"/>
        <n v="1.29"/>
        <n v="2.39"/>
        <n v="1.05"/>
        <n v="0.5"/>
        <n v="1.79"/>
        <n v="0.57999999999999996"/>
        <n v="1.27"/>
        <n v="1.34"/>
        <n v="1.02"/>
        <n v="2.27"/>
        <n v="2.5499999999999998"/>
        <n v="2.79"/>
        <n v="0.44"/>
        <n v="0.48"/>
        <n v="0.27"/>
        <n v="0.21"/>
        <n v="0.51"/>
        <n v="1.5"/>
        <n v="1.52"/>
        <n v="0.04"/>
        <n v="1.28"/>
        <n v="1.55"/>
        <n v="2.12"/>
        <n v="0.28000000000000003"/>
        <n v="0.89"/>
        <n v="1.96"/>
        <n v="0.76"/>
        <n v="1.17"/>
        <n v="0.49"/>
        <n v="1.61"/>
        <n v="1.1399999999999999"/>
        <n v="0.65"/>
        <n v="1.44"/>
        <n v="1.93"/>
        <n v="1.37"/>
        <n v="1.4"/>
        <n v="0.88"/>
        <n v="0.73"/>
        <n v="1.22"/>
        <n v="1.1299999999999999"/>
        <n v="0.81"/>
        <n v="0.97"/>
        <n v="1.8"/>
        <n v="1.0900000000000001"/>
        <n v="0.68"/>
        <n v="1.42"/>
        <n v="0.67"/>
        <n v="2.4"/>
        <n v="1.33"/>
        <n v="1.21"/>
        <n v="1.66"/>
        <n v="0.94"/>
        <n v="0.39"/>
        <n v="0.38"/>
        <n v="1.01"/>
        <n v="1.07"/>
        <n v="1.59"/>
        <n v="0.19"/>
        <n v="2.11"/>
        <n v="0.3"/>
        <n v="0.1"/>
        <n v="0.72"/>
        <n v="0.87"/>
        <n v="0.56000000000000005"/>
        <n v="0.16"/>
        <n v="0.86"/>
        <n v="0.62"/>
        <n v="1"/>
        <n v="0.82"/>
        <n v="0.84"/>
        <n v="0.64"/>
        <n v="0.8"/>
        <n v="0.47"/>
        <n v="0.32"/>
        <n v="0.71"/>
        <n v="1.85"/>
        <n v="2.4300000000000002"/>
        <n v="0.55000000000000004"/>
        <n v="0.53"/>
        <n v="0.09"/>
        <n v="1.19"/>
        <n v="7.0000000000000007E-2"/>
        <n v="0.2"/>
        <n v="0.7"/>
        <n v="0.22"/>
        <n v="0.28999999999999998"/>
        <n v="0.17"/>
        <n v="0.54"/>
        <n v="0.36"/>
        <n v="0.31"/>
        <n v="0.52"/>
        <n v="0.11"/>
        <n v="0.12"/>
        <n v="1.1000000000000001"/>
        <n v="0.46"/>
        <n v="0.08"/>
        <n v="0.59"/>
        <n v="0.23"/>
        <n v="0.78"/>
        <n v="0.02"/>
        <n v="0.85"/>
        <n v="0.34"/>
        <n v="0.25"/>
        <n v="0.18"/>
        <n v="1.49"/>
        <n v="0.15"/>
        <n v="0.13"/>
        <n v="0.9"/>
        <n v="0.41"/>
        <n v="0.03"/>
        <n v="0.37"/>
        <n v="0.05"/>
        <n v="0.33"/>
        <n v="0.42"/>
      </sharedItems>
    </cacheField>
    <cacheField name="JP_Sales" numFmtId="0">
      <sharedItems containsSemiMixedTypes="0" containsString="0" containsNumber="1" minValue="0" maxValue="10.220000000000001" count="211">
        <n v="3.77"/>
        <n v="6.81"/>
        <n v="3.79"/>
        <n v="3.28"/>
        <n v="10.220000000000001"/>
        <n v="4.22"/>
        <n v="6.5"/>
        <n v="2.93"/>
        <n v="4.7"/>
        <n v="0.28000000000000003"/>
        <n v="1.93"/>
        <n v="4.13"/>
        <n v="7.2"/>
        <n v="3.6"/>
        <n v="2.5299999999999998"/>
        <n v="0.24"/>
        <n v="0.97"/>
        <n v="0.41"/>
        <n v="3.54"/>
        <n v="4.16"/>
        <n v="6.04"/>
        <n v="4.18"/>
        <n v="3.84"/>
        <n v="0.06"/>
        <n v="0.47"/>
        <n v="5.38"/>
        <n v="5.65"/>
        <n v="5.32"/>
        <n v="1.87"/>
        <n v="0.13"/>
        <n v="3.12"/>
        <n v="0.11"/>
        <n v="4.34"/>
        <n v="0.35"/>
        <n v="0.65"/>
        <n v="7.0000000000000007E-2"/>
        <n v="0.08"/>
        <n v="0.49"/>
        <n v="0.3"/>
        <n v="2.66"/>
        <n v="0.48"/>
        <n v="5.33"/>
        <n v="2.67"/>
        <n v="0.36"/>
        <n v="3.96"/>
        <n v="1.91"/>
        <n v="1.1000000000000001"/>
        <n v="1.2"/>
        <n v="3.08"/>
        <n v="2.69"/>
        <n v="0.14000000000000001"/>
        <n v="2.54"/>
        <n v="2.13"/>
        <n v="0.81"/>
        <n v="0.38"/>
        <n v="0.44"/>
        <n v="2.12"/>
        <n v="3.15"/>
        <n v="1.25"/>
        <n v="0"/>
        <n v="0.04"/>
        <n v="2.23"/>
        <n v="2.4700000000000002"/>
        <n v="0.01"/>
        <n v="1.69"/>
        <n v="3"/>
        <n v="0.02"/>
        <n v="4.3600000000000003"/>
        <n v="1.98"/>
        <n v="0.1"/>
        <n v="3.81"/>
        <n v="2.4900000000000002"/>
        <n v="0.05"/>
        <n v="1.58"/>
        <n v="3.14"/>
        <n v="0.66"/>
        <n v="2.73"/>
        <n v="3.63"/>
        <n v="0.98"/>
        <n v="0.22"/>
        <n v="1.45"/>
        <n v="1.31"/>
        <n v="0.7"/>
        <n v="2.42"/>
        <n v="0.6"/>
        <n v="1.4"/>
        <n v="1.42"/>
        <n v="1.39"/>
        <n v="1.27"/>
        <n v="0.87"/>
        <n v="0.17"/>
        <n v="0.19"/>
        <n v="0.94"/>
        <n v="0.21"/>
        <n v="1.6"/>
        <n v="1.03"/>
        <n v="0.25"/>
        <n v="0.16"/>
        <n v="2.06"/>
        <n v="1.49"/>
        <n v="1.29"/>
        <n v="0.09"/>
        <n v="2.87"/>
        <n v="0.03"/>
        <n v="0.83"/>
        <n v="0.78"/>
        <n v="2.33"/>
        <n v="4.3499999999999996"/>
        <n v="2.02"/>
        <n v="1.36"/>
        <n v="1.81"/>
        <n v="1.97"/>
        <n v="0.91"/>
        <n v="0.99"/>
        <n v="0.95"/>
        <n v="2"/>
        <n v="1.01"/>
        <n v="2.78"/>
        <n v="2.11"/>
        <n v="1.0900000000000001"/>
        <n v="0.2"/>
        <n v="3.61"/>
        <n v="1.57"/>
        <n v="2.2000000000000002"/>
        <n v="1.89"/>
        <n v="1.7"/>
        <n v="1.08"/>
        <n v="0.15"/>
        <n v="1.1100000000000001"/>
        <n v="0.8"/>
        <n v="0.28999999999999998"/>
        <n v="1.54"/>
        <n v="0.12"/>
        <n v="0.89"/>
        <n v="4.87"/>
        <n v="1.52"/>
        <n v="1.32"/>
        <n v="1.1499999999999999"/>
        <n v="1.44"/>
        <n v="4.0999999999999996"/>
        <n v="0.46"/>
        <n v="1.05"/>
        <n v="1.61"/>
        <n v="0.26"/>
        <n v="1.38"/>
        <n v="0.72"/>
        <n v="0.62"/>
        <n v="0.18"/>
        <n v="0.56999999999999995"/>
        <n v="0.57999999999999996"/>
        <n v="0.31"/>
        <n v="1.76"/>
        <n v="0.37"/>
        <n v="2.1"/>
        <n v="0.9"/>
        <n v="0.51"/>
        <n v="0.64"/>
        <n v="2.46"/>
        <n v="0.92"/>
        <n v="1.07"/>
        <n v="2.62"/>
        <n v="1.1200000000000001"/>
        <n v="0.54"/>
        <n v="0.73"/>
        <n v="0.27"/>
        <n v="0.59"/>
        <n v="3.67"/>
        <n v="0.55000000000000004"/>
        <n v="0.4"/>
        <n v="1.75"/>
        <n v="3.44"/>
        <n v="0.33"/>
        <n v="2.5499999999999998"/>
        <n v="0.74"/>
        <n v="0.82"/>
        <n v="2.3199999999999998"/>
        <n v="0.76"/>
        <n v="0.77"/>
        <n v="3.18"/>
        <n v="2.35"/>
        <n v="3.19"/>
        <n v="0.93"/>
        <n v="0.88"/>
        <n v="3.03"/>
        <n v="0.45"/>
        <n v="1.1599999999999999"/>
        <n v="1.19"/>
        <n v="0.34"/>
        <n v="1.1299999999999999"/>
        <n v="0.68"/>
        <n v="1.96"/>
        <n v="0.71"/>
        <n v="1.04"/>
        <n v="2.68"/>
        <n v="2.65"/>
        <n v="0.96"/>
        <n v="2.41"/>
        <n v="0.52"/>
        <n v="2.4300000000000002"/>
        <n v="1.34"/>
        <n v="1.48"/>
        <n v="2.34"/>
        <n v="1.06"/>
        <n v="1.21"/>
        <n v="2.2799999999999998"/>
        <n v="1.63"/>
        <n v="2.0499999999999998"/>
        <n v="2.17"/>
        <n v="1.56"/>
        <n v="1.35"/>
        <n v="0.63"/>
      </sharedItems>
    </cacheField>
    <cacheField name="Other_Sales" numFmtId="0">
      <sharedItems containsSemiMixedTypes="0" containsString="0" containsNumber="1" minValue="0" maxValue="10.57" count="155">
        <n v="8.4600000000000009"/>
        <n v="0.77"/>
        <n v="3.31"/>
        <n v="2.96"/>
        <n v="1"/>
        <n v="0.57999999999999996"/>
        <n v="2.9"/>
        <n v="2.85"/>
        <n v="2.2599999999999998"/>
        <n v="0.47"/>
        <n v="2.75"/>
        <n v="1.92"/>
        <n v="0.71"/>
        <n v="2.15"/>
        <n v="1.79"/>
        <n v="1.67"/>
        <n v="4.1399999999999997"/>
        <n v="10.57"/>
        <n v="0.55000000000000004"/>
        <n v="2.0499999999999998"/>
        <n v="1.37"/>
        <n v="0.42"/>
        <n v="0.46"/>
        <n v="1.38"/>
        <n v="1.78"/>
        <n v="0.5"/>
        <n v="0.82"/>
        <n v="1.18"/>
        <n v="1.1599999999999999"/>
        <n v="1.32"/>
        <n v="0.59"/>
        <n v="1.1299999999999999"/>
        <n v="0.79"/>
        <n v="2.31"/>
        <n v="2.52"/>
        <n v="1.1200000000000001"/>
        <n v="1.29"/>
        <n v="1.62"/>
        <n v="1.3"/>
        <n v="1.02"/>
        <n v="1.83"/>
        <n v="0.88"/>
        <n v="0.89"/>
        <n v="1.21"/>
        <n v="2.02"/>
        <n v="0.23"/>
        <n v="7.53"/>
        <n v="0.76"/>
        <n v="0.65"/>
        <n v="0.28999999999999998"/>
        <n v="1.03"/>
        <n v="0.52"/>
        <n v="0.78"/>
        <n v="2.12"/>
        <n v="1.63"/>
        <n v="0.35"/>
        <n v="0.98"/>
        <n v="1.07"/>
        <n v="0.15"/>
        <n v="0.63"/>
        <n v="0.73"/>
        <n v="0.96"/>
        <n v="0.9"/>
        <n v="0.41"/>
        <n v="0.7"/>
        <n v="0.85"/>
        <n v="0.18"/>
        <n v="1.26"/>
        <n v="0.68"/>
        <n v="0.08"/>
        <n v="0.43"/>
        <n v="2.0099999999999998"/>
        <n v="0.91"/>
        <n v="0.33"/>
        <n v="1.75"/>
        <n v="0.64"/>
        <n v="1.23"/>
        <n v="0.16"/>
        <n v="0.31"/>
        <n v="0.19"/>
        <n v="0.69"/>
        <n v="0.67"/>
        <n v="1.1000000000000001"/>
        <n v="0.28000000000000003"/>
        <n v="0.22"/>
        <n v="0.49"/>
        <n v="0.56000000000000005"/>
        <n v="1.73"/>
        <n v="1.0900000000000001"/>
        <n v="0.99"/>
        <n v="1.06"/>
        <n v="0.3"/>
        <n v="1.04"/>
        <n v="1.42"/>
        <n v="0.62"/>
        <n v="1.47"/>
        <n v="1.05"/>
        <n v="0.14000000000000001"/>
        <n v="1.1399999999999999"/>
        <n v="7.0000000000000007E-2"/>
        <n v="0.21"/>
        <n v="0.61"/>
        <n v="0.56999999999999995"/>
        <n v="0.17"/>
        <n v="0.12"/>
        <n v="0"/>
        <n v="0.51"/>
        <n v="0.6"/>
        <n v="0.72"/>
        <n v="0.83"/>
        <n v="0.24"/>
        <n v="1.01"/>
        <n v="1.74"/>
        <n v="0.53"/>
        <n v="0.45"/>
        <n v="0.11"/>
        <n v="0.87"/>
        <n v="0.04"/>
        <n v="0.8"/>
        <n v="0.34"/>
        <n v="0.2"/>
        <n v="0.09"/>
        <n v="0.84"/>
        <n v="0.94"/>
        <n v="0.44"/>
        <n v="0.06"/>
        <n v="0.38"/>
        <n v="1.48"/>
        <n v="0.37"/>
        <n v="0.66"/>
        <n v="0.1"/>
        <n v="0.25"/>
        <n v="0.13"/>
        <n v="0.48"/>
        <n v="0.05"/>
        <n v="0.02"/>
        <n v="0.74"/>
        <n v="0.39"/>
        <n v="0.86"/>
        <n v="0.4"/>
        <n v="0.75"/>
        <n v="1.93"/>
        <n v="0.54"/>
        <n v="0.27"/>
        <n v="0.36"/>
        <n v="0.32"/>
        <n v="2.93"/>
        <n v="0.26"/>
        <n v="2.46"/>
        <n v="0.01"/>
        <n v="0.03"/>
        <n v="1.51"/>
        <n v="1.68"/>
        <n v="1.41"/>
        <n v="1.82"/>
      </sharedItems>
    </cacheField>
    <cacheField name="Global_Sales" numFmtId="0">
      <sharedItems containsSemiMixedTypes="0" containsString="0" containsNumber="1" minValue="2.09" maxValue="82.74" count="415">
        <n v="82.74"/>
        <n v="40.24"/>
        <n v="35.82"/>
        <n v="33"/>
        <n v="31.37"/>
        <n v="30.26"/>
        <n v="30.01"/>
        <n v="29.02"/>
        <n v="28.62"/>
        <n v="28.31"/>
        <n v="24.76"/>
        <n v="23.42"/>
        <n v="23.1"/>
        <n v="22.72"/>
        <n v="22"/>
        <n v="21.82"/>
        <n v="21.4"/>
        <n v="20.81"/>
        <n v="20.61"/>
        <n v="20.22"/>
        <n v="18.36"/>
        <n v="18.14"/>
        <n v="17.28"/>
        <n v="16.38"/>
        <n v="16.149999999999999"/>
        <n v="15.85"/>
        <n v="15.32"/>
        <n v="15.3"/>
        <n v="14.98"/>
        <n v="14.76"/>
        <n v="14.64"/>
        <n v="14.35"/>
        <n v="14.24"/>
        <n v="14.03"/>
        <n v="13.73"/>
        <n v="13.51"/>
        <n v="13.46"/>
        <n v="13.1"/>
        <n v="13.04"/>
        <n v="12.73"/>
        <n v="12.27"/>
        <n v="12.21"/>
        <n v="12.14"/>
        <n v="11.98"/>
        <n v="11.9"/>
        <n v="11.89"/>
        <n v="11.66"/>
        <n v="11.52"/>
        <n v="11.33"/>
        <n v="11.18"/>
        <n v="11.02"/>
        <n v="10.95"/>
        <n v="10.79"/>
        <n v="10.77"/>
        <n v="10.69"/>
        <n v="10.57"/>
        <n v="10.55"/>
        <n v="10.49"/>
        <n v="10.42"/>
        <n v="10.26"/>
        <n v="10.210000000000001"/>
        <n v="9.8800000000000008"/>
        <n v="9.8699999999999992"/>
        <n v="9.82"/>
        <n v="9.76"/>
        <n v="9.7200000000000006"/>
        <n v="9.59"/>
        <n v="9.52"/>
        <n v="9.49"/>
        <n v="9.32"/>
        <n v="9.3000000000000007"/>
        <n v="9.1999999999999993"/>
        <n v="9.09"/>
        <n v="9.02"/>
        <n v="8.84"/>
        <n v="8.76"/>
        <n v="8.49"/>
        <n v="8.42"/>
        <n v="8.33"/>
        <n v="8.24"/>
        <n v="8.11"/>
        <n v="8.09"/>
        <n v="8.06"/>
        <n v="8.0500000000000007"/>
        <n v="7.86"/>
        <n v="7.84"/>
        <n v="7.81"/>
        <n v="7.72"/>
        <n v="7.69"/>
        <n v="7.67"/>
        <n v="7.6"/>
        <n v="7.58"/>
        <n v="7.46"/>
        <n v="7.45"/>
        <n v="7.37"/>
        <n v="7.34"/>
        <n v="7.31"/>
        <n v="7.3"/>
        <n v="7.27"/>
        <n v="7.23"/>
        <n v="7.2"/>
        <n v="7.16"/>
        <n v="7.13"/>
        <n v="7.07"/>
        <n v="6.96"/>
        <n v="6.95"/>
        <n v="6.91"/>
        <n v="6.9"/>
        <n v="6.83"/>
        <n v="6.82"/>
        <n v="6.81"/>
        <n v="6.76"/>
        <n v="6.73"/>
        <n v="6.72"/>
        <n v="6.69"/>
        <n v="6.67"/>
        <n v="6.6"/>
        <n v="6.59"/>
        <n v="6.56"/>
        <n v="6.51"/>
        <n v="6.5"/>
        <n v="6.43"/>
        <n v="6.41"/>
        <n v="6.4"/>
        <n v="6.39"/>
        <n v="6.36"/>
        <n v="6.34"/>
        <n v="6.31"/>
        <n v="6.3"/>
        <n v="6.28"/>
        <n v="6.27"/>
        <n v="6.24"/>
        <n v="6.11"/>
        <n v="6.05"/>
        <n v="6.03"/>
        <n v="5.99"/>
        <n v="5.95"/>
        <n v="5.92"/>
        <n v="5.84"/>
        <n v="5.83"/>
        <n v="5.82"/>
        <n v="5.74"/>
        <n v="5.72"/>
        <n v="5.65"/>
        <n v="5.58"/>
        <n v="5.57"/>
        <n v="5.55"/>
        <n v="5.53"/>
        <n v="5.51"/>
        <n v="5.5"/>
        <n v="5.49"/>
        <n v="5.47"/>
        <n v="5.46"/>
        <n v="5.45"/>
        <n v="5.43"/>
        <n v="5.42"/>
        <n v="5.36"/>
        <n v="5.34"/>
        <n v="5.31"/>
        <n v="5.3"/>
        <n v="5.29"/>
        <n v="5.27"/>
        <n v="5.26"/>
        <n v="5.24"/>
        <n v="5.23"/>
        <n v="5.21"/>
        <n v="5.2"/>
        <n v="5.19"/>
        <n v="5.18"/>
        <n v="5.17"/>
        <n v="5.15"/>
        <n v="5.14"/>
        <n v="5.13"/>
        <n v="5.12"/>
        <n v="5.1100000000000003"/>
        <n v="5.08"/>
        <n v="5.07"/>
        <n v="5.05"/>
        <n v="5.0199999999999996"/>
        <n v="5.01"/>
        <n v="5"/>
        <n v="4.9800000000000004"/>
        <n v="4.96"/>
        <n v="4.9400000000000004"/>
        <n v="4.91"/>
        <n v="4.9000000000000004"/>
        <n v="4.88"/>
        <n v="4.87"/>
        <n v="4.8499999999999996"/>
        <n v="4.84"/>
        <n v="4.83"/>
        <n v="4.82"/>
        <n v="4.79"/>
        <n v="4.7699999999999996"/>
        <n v="4.76"/>
        <n v="4.7300000000000004"/>
        <n v="4.7"/>
        <n v="4.68"/>
        <n v="4.67"/>
        <n v="4.6399999999999997"/>
        <n v="4.63"/>
        <n v="4.62"/>
        <n v="4.6100000000000003"/>
        <n v="4.5999999999999996"/>
        <n v="4.58"/>
        <n v="4.57"/>
        <n v="4.55"/>
        <n v="4.53"/>
        <n v="4.5"/>
        <n v="4.49"/>
        <n v="4.4800000000000004"/>
        <n v="4.47"/>
        <n v="4.45"/>
        <n v="4.4400000000000004"/>
        <n v="4.42"/>
        <n v="4.41"/>
        <n v="4.3899999999999997"/>
        <n v="4.38"/>
        <n v="4.37"/>
        <n v="4.3499999999999996"/>
        <n v="4.34"/>
        <n v="4.33"/>
        <n v="4.3099999999999996"/>
        <n v="4.26"/>
        <n v="4.25"/>
        <n v="4.24"/>
        <n v="4.2300000000000004"/>
        <n v="4.22"/>
        <n v="4.21"/>
        <n v="4.2"/>
        <n v="4.1900000000000004"/>
        <n v="4.17"/>
        <n v="4.16"/>
        <n v="4.1399999999999997"/>
        <n v="4.12"/>
        <n v="4.1100000000000003"/>
        <n v="4.0999999999999996"/>
        <n v="4.09"/>
        <n v="4.08"/>
        <n v="4.07"/>
        <n v="4.0599999999999996"/>
        <n v="4.05"/>
        <n v="4.03"/>
        <n v="4.0199999999999996"/>
        <n v="4.01"/>
        <n v="4"/>
        <n v="3.99"/>
        <n v="3.98"/>
        <n v="3.92"/>
        <n v="3.91"/>
        <n v="3.9"/>
        <n v="3.89"/>
        <n v="3.88"/>
        <n v="3.87"/>
        <n v="3.85"/>
        <n v="3.84"/>
        <n v="3.83"/>
        <n v="3.82"/>
        <n v="3.81"/>
        <n v="3.79"/>
        <n v="3.78"/>
        <n v="3.77"/>
        <n v="3.76"/>
        <n v="3.73"/>
        <n v="3.72"/>
        <n v="3.71"/>
        <n v="3.7"/>
        <n v="3.69"/>
        <n v="3.67"/>
        <n v="3.66"/>
        <n v="3.65"/>
        <n v="3.64"/>
        <n v="3.63"/>
        <n v="3.62"/>
        <n v="3.61"/>
        <n v="3.6"/>
        <n v="3.59"/>
        <n v="3.58"/>
        <n v="3.56"/>
        <n v="3.54"/>
        <n v="3.53"/>
        <n v="3.52"/>
        <n v="3.51"/>
        <n v="3.5"/>
        <n v="3.49"/>
        <n v="3.48"/>
        <n v="3.46"/>
        <n v="3.45"/>
        <n v="3.44"/>
        <n v="3.43"/>
        <n v="3.42"/>
        <n v="3.41"/>
        <n v="3.4"/>
        <n v="3.39"/>
        <n v="3.38"/>
        <n v="3.36"/>
        <n v="3.34"/>
        <n v="3.33"/>
        <n v="3.32"/>
        <n v="3.31"/>
        <n v="3.28"/>
        <n v="3.27"/>
        <n v="3.26"/>
        <n v="3.24"/>
        <n v="3.23"/>
        <n v="3.22"/>
        <n v="3.21"/>
        <n v="3.2"/>
        <n v="3.19"/>
        <n v="3.18"/>
        <n v="3.17"/>
        <n v="3.16"/>
        <n v="3.15"/>
        <n v="3.14"/>
        <n v="3.13"/>
        <n v="3.12"/>
        <n v="3.11"/>
        <n v="3.09"/>
        <n v="3.08"/>
        <n v="3.07"/>
        <n v="3.05"/>
        <n v="3.04"/>
        <n v="3.03"/>
        <n v="3.02"/>
        <n v="3"/>
        <n v="2.99"/>
        <n v="2.98"/>
        <n v="2.97"/>
        <n v="2.96"/>
        <n v="2.95"/>
        <n v="2.94"/>
        <n v="2.93"/>
        <n v="2.92"/>
        <n v="2.91"/>
        <n v="2.9"/>
        <n v="2.89"/>
        <n v="2.88"/>
        <n v="2.87"/>
        <n v="2.86"/>
        <n v="2.85"/>
        <n v="2.84"/>
        <n v="2.83"/>
        <n v="2.82"/>
        <n v="2.81"/>
        <n v="2.8"/>
        <n v="2.79"/>
        <n v="2.78"/>
        <n v="2.77"/>
        <n v="2.76"/>
        <n v="2.75"/>
        <n v="2.74"/>
        <n v="2.73"/>
        <n v="2.72"/>
        <n v="2.71"/>
        <n v="2.7"/>
        <n v="2.69"/>
        <n v="2.68"/>
        <n v="2.67"/>
        <n v="2.66"/>
        <n v="2.65"/>
        <n v="2.64"/>
        <n v="2.63"/>
        <n v="2.62"/>
        <n v="2.61"/>
        <n v="2.6"/>
        <n v="2.59"/>
        <n v="2.58"/>
        <n v="2.57"/>
        <n v="2.56"/>
        <n v="2.54"/>
        <n v="2.5299999999999998"/>
        <n v="2.52"/>
        <n v="2.5099999999999998"/>
        <n v="2.5"/>
        <n v="2.4900000000000002"/>
        <n v="2.48"/>
        <n v="2.4700000000000002"/>
        <n v="2.46"/>
        <n v="2.4500000000000002"/>
        <n v="2.44"/>
        <n v="2.4300000000000002"/>
        <n v="2.42"/>
        <n v="2.41"/>
        <n v="2.4"/>
        <n v="2.39"/>
        <n v="2.38"/>
        <n v="2.37"/>
        <n v="2.36"/>
        <n v="2.35"/>
        <n v="2.34"/>
        <n v="2.33"/>
        <n v="2.3199999999999998"/>
        <n v="2.31"/>
        <n v="2.2999999999999998"/>
        <n v="2.29"/>
        <n v="2.2799999999999998"/>
        <n v="2.27"/>
        <n v="2.2599999999999998"/>
        <n v="2.25"/>
        <n v="2.2400000000000002"/>
        <n v="2.23"/>
        <n v="2.2200000000000002"/>
        <n v="2.21"/>
        <n v="2.2000000000000002"/>
        <n v="2.19"/>
        <n v="2.1800000000000002"/>
        <n v="2.17"/>
        <n v="2.16"/>
        <n v="2.15"/>
        <n v="2.14"/>
        <n v="2.13"/>
        <n v="2.12"/>
        <n v="2.11"/>
        <n v="2.1"/>
        <n v="2.09"/>
      </sharedItems>
    </cacheField>
  </cacheFields>
  <extLst>
    <ext xmlns:x14="http://schemas.microsoft.com/office/spreadsheetml/2009/9/main" uri="{725AE2AE-9491-48be-B2B4-4EB974FC3084}">
      <x14:pivotCacheDefinition pivotCacheId="801726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9">
  <r>
    <n v="1"/>
    <x v="0"/>
    <x v="0"/>
    <x v="0"/>
    <x v="0"/>
    <x v="0"/>
    <x v="0"/>
    <x v="0"/>
    <x v="0"/>
    <x v="0"/>
    <x v="0"/>
  </r>
  <r>
    <n v="2"/>
    <x v="1"/>
    <x v="1"/>
    <x v="1"/>
    <x v="1"/>
    <x v="0"/>
    <x v="1"/>
    <x v="1"/>
    <x v="1"/>
    <x v="1"/>
    <x v="1"/>
  </r>
  <r>
    <n v="3"/>
    <x v="2"/>
    <x v="0"/>
    <x v="2"/>
    <x v="2"/>
    <x v="0"/>
    <x v="2"/>
    <x v="2"/>
    <x v="2"/>
    <x v="2"/>
    <x v="2"/>
  </r>
  <r>
    <n v="4"/>
    <x v="3"/>
    <x v="0"/>
    <x v="3"/>
    <x v="0"/>
    <x v="0"/>
    <x v="3"/>
    <x v="3"/>
    <x v="3"/>
    <x v="3"/>
    <x v="3"/>
  </r>
  <r>
    <n v="5"/>
    <x v="4"/>
    <x v="2"/>
    <x v="4"/>
    <x v="3"/>
    <x v="0"/>
    <x v="4"/>
    <x v="4"/>
    <x v="4"/>
    <x v="4"/>
    <x v="4"/>
  </r>
  <r>
    <n v="6"/>
    <x v="5"/>
    <x v="2"/>
    <x v="5"/>
    <x v="4"/>
    <x v="0"/>
    <x v="5"/>
    <x v="5"/>
    <x v="5"/>
    <x v="5"/>
    <x v="5"/>
  </r>
  <r>
    <n v="7"/>
    <x v="6"/>
    <x v="3"/>
    <x v="0"/>
    <x v="1"/>
    <x v="0"/>
    <x v="6"/>
    <x v="6"/>
    <x v="6"/>
    <x v="6"/>
    <x v="6"/>
  </r>
  <r>
    <n v="8"/>
    <x v="7"/>
    <x v="0"/>
    <x v="0"/>
    <x v="5"/>
    <x v="0"/>
    <x v="7"/>
    <x v="7"/>
    <x v="7"/>
    <x v="7"/>
    <x v="7"/>
  </r>
  <r>
    <n v="9"/>
    <x v="8"/>
    <x v="0"/>
    <x v="3"/>
    <x v="1"/>
    <x v="0"/>
    <x v="8"/>
    <x v="8"/>
    <x v="8"/>
    <x v="8"/>
    <x v="8"/>
  </r>
  <r>
    <n v="10"/>
    <x v="9"/>
    <x v="1"/>
    <x v="6"/>
    <x v="6"/>
    <x v="0"/>
    <x v="9"/>
    <x v="9"/>
    <x v="9"/>
    <x v="9"/>
    <x v="9"/>
  </r>
  <r>
    <n v="11"/>
    <x v="10"/>
    <x v="3"/>
    <x v="7"/>
    <x v="7"/>
    <x v="0"/>
    <x v="10"/>
    <x v="10"/>
    <x v="10"/>
    <x v="10"/>
    <x v="10"/>
  </r>
  <r>
    <n v="12"/>
    <x v="11"/>
    <x v="3"/>
    <x v="7"/>
    <x v="2"/>
    <x v="0"/>
    <x v="11"/>
    <x v="11"/>
    <x v="11"/>
    <x v="11"/>
    <x v="11"/>
  </r>
  <r>
    <n v="13"/>
    <x v="12"/>
    <x v="2"/>
    <x v="8"/>
    <x v="3"/>
    <x v="0"/>
    <x v="12"/>
    <x v="12"/>
    <x v="12"/>
    <x v="12"/>
    <x v="12"/>
  </r>
  <r>
    <n v="14"/>
    <x v="13"/>
    <x v="0"/>
    <x v="9"/>
    <x v="0"/>
    <x v="0"/>
    <x v="13"/>
    <x v="13"/>
    <x v="13"/>
    <x v="13"/>
    <x v="13"/>
  </r>
  <r>
    <n v="15"/>
    <x v="14"/>
    <x v="0"/>
    <x v="3"/>
    <x v="0"/>
    <x v="0"/>
    <x v="14"/>
    <x v="14"/>
    <x v="14"/>
    <x v="14"/>
    <x v="14"/>
  </r>
  <r>
    <n v="16"/>
    <x v="15"/>
    <x v="4"/>
    <x v="10"/>
    <x v="5"/>
    <x v="1"/>
    <x v="15"/>
    <x v="15"/>
    <x v="15"/>
    <x v="15"/>
    <x v="15"/>
  </r>
  <r>
    <n v="17"/>
    <x v="16"/>
    <x v="5"/>
    <x v="11"/>
    <x v="8"/>
    <x v="2"/>
    <x v="16"/>
    <x v="16"/>
    <x v="16"/>
    <x v="16"/>
    <x v="16"/>
  </r>
  <r>
    <n v="18"/>
    <x v="17"/>
    <x v="6"/>
    <x v="12"/>
    <x v="8"/>
    <x v="2"/>
    <x v="17"/>
    <x v="17"/>
    <x v="17"/>
    <x v="17"/>
    <x v="17"/>
  </r>
  <r>
    <n v="19"/>
    <x v="18"/>
    <x v="7"/>
    <x v="13"/>
    <x v="1"/>
    <x v="0"/>
    <x v="18"/>
    <x v="18"/>
    <x v="18"/>
    <x v="18"/>
    <x v="18"/>
  </r>
  <r>
    <n v="20"/>
    <x v="19"/>
    <x v="3"/>
    <x v="7"/>
    <x v="5"/>
    <x v="0"/>
    <x v="19"/>
    <x v="19"/>
    <x v="19"/>
    <x v="19"/>
    <x v="19"/>
  </r>
  <r>
    <n v="21"/>
    <x v="20"/>
    <x v="3"/>
    <x v="0"/>
    <x v="3"/>
    <x v="0"/>
    <x v="20"/>
    <x v="20"/>
    <x v="20"/>
    <x v="20"/>
    <x v="20"/>
  </r>
  <r>
    <n v="22"/>
    <x v="21"/>
    <x v="2"/>
    <x v="5"/>
    <x v="1"/>
    <x v="0"/>
    <x v="21"/>
    <x v="21"/>
    <x v="21"/>
    <x v="21"/>
    <x v="21"/>
  </r>
  <r>
    <n v="23"/>
    <x v="22"/>
    <x v="1"/>
    <x v="14"/>
    <x v="1"/>
    <x v="0"/>
    <x v="22"/>
    <x v="22"/>
    <x v="22"/>
    <x v="22"/>
    <x v="22"/>
  </r>
  <r>
    <n v="24"/>
    <x v="16"/>
    <x v="4"/>
    <x v="11"/>
    <x v="8"/>
    <x v="2"/>
    <x v="23"/>
    <x v="23"/>
    <x v="23"/>
    <x v="23"/>
    <x v="23"/>
  </r>
  <r>
    <n v="25"/>
    <x v="23"/>
    <x v="6"/>
    <x v="15"/>
    <x v="8"/>
    <x v="2"/>
    <x v="24"/>
    <x v="24"/>
    <x v="24"/>
    <x v="24"/>
    <x v="24"/>
  </r>
  <r>
    <n v="26"/>
    <x v="24"/>
    <x v="8"/>
    <x v="15"/>
    <x v="3"/>
    <x v="0"/>
    <x v="25"/>
    <x v="25"/>
    <x v="25"/>
    <x v="25"/>
    <x v="25"/>
  </r>
  <r>
    <n v="27"/>
    <x v="25"/>
    <x v="3"/>
    <x v="10"/>
    <x v="3"/>
    <x v="0"/>
    <x v="26"/>
    <x v="26"/>
    <x v="26"/>
    <x v="26"/>
    <x v="26"/>
  </r>
  <r>
    <n v="28"/>
    <x v="26"/>
    <x v="3"/>
    <x v="7"/>
    <x v="4"/>
    <x v="0"/>
    <x v="27"/>
    <x v="27"/>
    <x v="27"/>
    <x v="27"/>
    <x v="27"/>
  </r>
  <r>
    <n v="29"/>
    <x v="27"/>
    <x v="6"/>
    <x v="16"/>
    <x v="2"/>
    <x v="3"/>
    <x v="28"/>
    <x v="28"/>
    <x v="28"/>
    <x v="28"/>
    <x v="28"/>
  </r>
  <r>
    <n v="30"/>
    <x v="28"/>
    <x v="4"/>
    <x v="17"/>
    <x v="6"/>
    <x v="4"/>
    <x v="29"/>
    <x v="29"/>
    <x v="29"/>
    <x v="29"/>
    <x v="29"/>
  </r>
  <r>
    <n v="31"/>
    <x v="29"/>
    <x v="2"/>
    <x v="18"/>
    <x v="3"/>
    <x v="0"/>
    <x v="30"/>
    <x v="30"/>
    <x v="30"/>
    <x v="30"/>
    <x v="30"/>
  </r>
  <r>
    <n v="32"/>
    <x v="30"/>
    <x v="4"/>
    <x v="10"/>
    <x v="6"/>
    <x v="4"/>
    <x v="31"/>
    <x v="31"/>
    <x v="31"/>
    <x v="31"/>
    <x v="30"/>
  </r>
  <r>
    <n v="33"/>
    <x v="31"/>
    <x v="9"/>
    <x v="11"/>
    <x v="3"/>
    <x v="0"/>
    <x v="32"/>
    <x v="32"/>
    <x v="32"/>
    <x v="32"/>
    <x v="31"/>
  </r>
  <r>
    <n v="34"/>
    <x v="32"/>
    <x v="10"/>
    <x v="19"/>
    <x v="6"/>
    <x v="4"/>
    <x v="33"/>
    <x v="33"/>
    <x v="33"/>
    <x v="33"/>
    <x v="32"/>
  </r>
  <r>
    <n v="35"/>
    <x v="33"/>
    <x v="5"/>
    <x v="20"/>
    <x v="6"/>
    <x v="4"/>
    <x v="34"/>
    <x v="34"/>
    <x v="34"/>
    <x v="34"/>
    <x v="33"/>
  </r>
  <r>
    <n v="36"/>
    <x v="33"/>
    <x v="4"/>
    <x v="20"/>
    <x v="6"/>
    <x v="4"/>
    <x v="35"/>
    <x v="35"/>
    <x v="35"/>
    <x v="35"/>
    <x v="34"/>
  </r>
  <r>
    <n v="37"/>
    <x v="34"/>
    <x v="4"/>
    <x v="3"/>
    <x v="6"/>
    <x v="4"/>
    <x v="36"/>
    <x v="36"/>
    <x v="36"/>
    <x v="36"/>
    <x v="35"/>
  </r>
  <r>
    <n v="38"/>
    <x v="28"/>
    <x v="5"/>
    <x v="17"/>
    <x v="6"/>
    <x v="4"/>
    <x v="37"/>
    <x v="37"/>
    <x v="37"/>
    <x v="37"/>
    <x v="36"/>
  </r>
  <r>
    <n v="39"/>
    <x v="35"/>
    <x v="6"/>
    <x v="16"/>
    <x v="8"/>
    <x v="2"/>
    <x v="38"/>
    <x v="38"/>
    <x v="38"/>
    <x v="38"/>
    <x v="37"/>
  </r>
  <r>
    <n v="40"/>
    <x v="36"/>
    <x v="0"/>
    <x v="2"/>
    <x v="9"/>
    <x v="0"/>
    <x v="39"/>
    <x v="39"/>
    <x v="39"/>
    <x v="39"/>
    <x v="38"/>
  </r>
  <r>
    <n v="41"/>
    <x v="30"/>
    <x v="5"/>
    <x v="10"/>
    <x v="6"/>
    <x v="4"/>
    <x v="40"/>
    <x v="40"/>
    <x v="40"/>
    <x v="40"/>
    <x v="39"/>
  </r>
  <r>
    <n v="42"/>
    <x v="37"/>
    <x v="3"/>
    <x v="7"/>
    <x v="7"/>
    <x v="0"/>
    <x v="41"/>
    <x v="41"/>
    <x v="41"/>
    <x v="41"/>
    <x v="40"/>
  </r>
  <r>
    <n v="43"/>
    <x v="38"/>
    <x v="9"/>
    <x v="17"/>
    <x v="2"/>
    <x v="0"/>
    <x v="42"/>
    <x v="42"/>
    <x v="42"/>
    <x v="42"/>
    <x v="41"/>
  </r>
  <r>
    <n v="44"/>
    <x v="39"/>
    <x v="4"/>
    <x v="9"/>
    <x v="6"/>
    <x v="1"/>
    <x v="43"/>
    <x v="43"/>
    <x v="29"/>
    <x v="43"/>
    <x v="42"/>
  </r>
  <r>
    <n v="45"/>
    <x v="16"/>
    <x v="10"/>
    <x v="21"/>
    <x v="8"/>
    <x v="2"/>
    <x v="44"/>
    <x v="33"/>
    <x v="43"/>
    <x v="44"/>
    <x v="43"/>
  </r>
  <r>
    <n v="46"/>
    <x v="40"/>
    <x v="3"/>
    <x v="3"/>
    <x v="8"/>
    <x v="0"/>
    <x v="45"/>
    <x v="44"/>
    <x v="44"/>
    <x v="1"/>
    <x v="44"/>
  </r>
  <r>
    <n v="47"/>
    <x v="41"/>
    <x v="11"/>
    <x v="4"/>
    <x v="1"/>
    <x v="0"/>
    <x v="46"/>
    <x v="45"/>
    <x v="45"/>
    <x v="45"/>
    <x v="45"/>
  </r>
  <r>
    <n v="48"/>
    <x v="42"/>
    <x v="6"/>
    <x v="12"/>
    <x v="2"/>
    <x v="3"/>
    <x v="47"/>
    <x v="46"/>
    <x v="46"/>
    <x v="46"/>
    <x v="46"/>
  </r>
  <r>
    <n v="49"/>
    <x v="43"/>
    <x v="0"/>
    <x v="9"/>
    <x v="1"/>
    <x v="0"/>
    <x v="48"/>
    <x v="47"/>
    <x v="47"/>
    <x v="47"/>
    <x v="47"/>
  </r>
  <r>
    <n v="50"/>
    <x v="44"/>
    <x v="9"/>
    <x v="21"/>
    <x v="3"/>
    <x v="0"/>
    <x v="49"/>
    <x v="48"/>
    <x v="48"/>
    <x v="48"/>
    <x v="48"/>
  </r>
  <r>
    <n v="51"/>
    <x v="45"/>
    <x v="2"/>
    <x v="22"/>
    <x v="10"/>
    <x v="0"/>
    <x v="48"/>
    <x v="49"/>
    <x v="49"/>
    <x v="49"/>
    <x v="49"/>
  </r>
  <r>
    <n v="52"/>
    <x v="46"/>
    <x v="4"/>
    <x v="2"/>
    <x v="8"/>
    <x v="2"/>
    <x v="50"/>
    <x v="50"/>
    <x v="50"/>
    <x v="50"/>
    <x v="50"/>
  </r>
  <r>
    <n v="53"/>
    <x v="47"/>
    <x v="12"/>
    <x v="23"/>
    <x v="2"/>
    <x v="3"/>
    <x v="51"/>
    <x v="51"/>
    <x v="51"/>
    <x v="51"/>
    <x v="51"/>
  </r>
  <r>
    <n v="54"/>
    <x v="48"/>
    <x v="9"/>
    <x v="17"/>
    <x v="1"/>
    <x v="0"/>
    <x v="52"/>
    <x v="52"/>
    <x v="52"/>
    <x v="52"/>
    <x v="52"/>
  </r>
  <r>
    <n v="55"/>
    <x v="49"/>
    <x v="5"/>
    <x v="10"/>
    <x v="2"/>
    <x v="3"/>
    <x v="53"/>
    <x v="53"/>
    <x v="53"/>
    <x v="53"/>
    <x v="53"/>
  </r>
  <r>
    <n v="56"/>
    <x v="34"/>
    <x v="5"/>
    <x v="3"/>
    <x v="6"/>
    <x v="4"/>
    <x v="34"/>
    <x v="54"/>
    <x v="54"/>
    <x v="54"/>
    <x v="54"/>
  </r>
  <r>
    <n v="57"/>
    <x v="46"/>
    <x v="5"/>
    <x v="2"/>
    <x v="8"/>
    <x v="2"/>
    <x v="54"/>
    <x v="55"/>
    <x v="55"/>
    <x v="37"/>
    <x v="55"/>
  </r>
  <r>
    <n v="58"/>
    <x v="50"/>
    <x v="7"/>
    <x v="24"/>
    <x v="1"/>
    <x v="0"/>
    <x v="55"/>
    <x v="56"/>
    <x v="56"/>
    <x v="49"/>
    <x v="56"/>
  </r>
  <r>
    <n v="59"/>
    <x v="51"/>
    <x v="8"/>
    <x v="12"/>
    <x v="3"/>
    <x v="0"/>
    <x v="56"/>
    <x v="57"/>
    <x v="57"/>
    <x v="55"/>
    <x v="57"/>
  </r>
  <r>
    <n v="60"/>
    <x v="41"/>
    <x v="3"/>
    <x v="12"/>
    <x v="1"/>
    <x v="0"/>
    <x v="57"/>
    <x v="58"/>
    <x v="58"/>
    <x v="56"/>
    <x v="58"/>
  </r>
  <r>
    <n v="61"/>
    <x v="52"/>
    <x v="0"/>
    <x v="17"/>
    <x v="5"/>
    <x v="5"/>
    <x v="58"/>
    <x v="59"/>
    <x v="59"/>
    <x v="57"/>
    <x v="59"/>
  </r>
  <r>
    <n v="62"/>
    <x v="53"/>
    <x v="4"/>
    <x v="11"/>
    <x v="6"/>
    <x v="4"/>
    <x v="59"/>
    <x v="60"/>
    <x v="60"/>
    <x v="26"/>
    <x v="60"/>
  </r>
  <r>
    <n v="63"/>
    <x v="54"/>
    <x v="4"/>
    <x v="10"/>
    <x v="6"/>
    <x v="1"/>
    <x v="60"/>
    <x v="61"/>
    <x v="36"/>
    <x v="52"/>
    <x v="61"/>
  </r>
  <r>
    <n v="64"/>
    <x v="55"/>
    <x v="11"/>
    <x v="4"/>
    <x v="2"/>
    <x v="0"/>
    <x v="61"/>
    <x v="62"/>
    <x v="61"/>
    <x v="58"/>
    <x v="62"/>
  </r>
  <r>
    <n v="65"/>
    <x v="56"/>
    <x v="9"/>
    <x v="20"/>
    <x v="1"/>
    <x v="0"/>
    <x v="62"/>
    <x v="63"/>
    <x v="62"/>
    <x v="59"/>
    <x v="63"/>
  </r>
  <r>
    <n v="66"/>
    <x v="57"/>
    <x v="4"/>
    <x v="20"/>
    <x v="6"/>
    <x v="1"/>
    <x v="63"/>
    <x v="64"/>
    <x v="60"/>
    <x v="60"/>
    <x v="64"/>
  </r>
  <r>
    <n v="67"/>
    <x v="58"/>
    <x v="12"/>
    <x v="23"/>
    <x v="3"/>
    <x v="3"/>
    <x v="47"/>
    <x v="65"/>
    <x v="3"/>
    <x v="61"/>
    <x v="65"/>
  </r>
  <r>
    <n v="68"/>
    <x v="53"/>
    <x v="5"/>
    <x v="11"/>
    <x v="6"/>
    <x v="4"/>
    <x v="64"/>
    <x v="31"/>
    <x v="54"/>
    <x v="23"/>
    <x v="66"/>
  </r>
  <r>
    <n v="69"/>
    <x v="59"/>
    <x v="0"/>
    <x v="10"/>
    <x v="5"/>
    <x v="5"/>
    <x v="65"/>
    <x v="66"/>
    <x v="63"/>
    <x v="52"/>
    <x v="67"/>
  </r>
  <r>
    <n v="70"/>
    <x v="60"/>
    <x v="12"/>
    <x v="8"/>
    <x v="2"/>
    <x v="3"/>
    <x v="66"/>
    <x v="67"/>
    <x v="64"/>
    <x v="25"/>
    <x v="68"/>
  </r>
  <r>
    <n v="71"/>
    <x v="61"/>
    <x v="4"/>
    <x v="9"/>
    <x v="6"/>
    <x v="4"/>
    <x v="67"/>
    <x v="68"/>
    <x v="29"/>
    <x v="62"/>
    <x v="69"/>
  </r>
  <r>
    <n v="72"/>
    <x v="62"/>
    <x v="7"/>
    <x v="25"/>
    <x v="1"/>
    <x v="0"/>
    <x v="68"/>
    <x v="69"/>
    <x v="65"/>
    <x v="45"/>
    <x v="70"/>
  </r>
  <r>
    <n v="73"/>
    <x v="63"/>
    <x v="4"/>
    <x v="11"/>
    <x v="5"/>
    <x v="1"/>
    <x v="69"/>
    <x v="43"/>
    <x v="66"/>
    <x v="1"/>
    <x v="71"/>
  </r>
  <r>
    <n v="74"/>
    <x v="64"/>
    <x v="9"/>
    <x v="20"/>
    <x v="7"/>
    <x v="0"/>
    <x v="70"/>
    <x v="70"/>
    <x v="67"/>
    <x v="63"/>
    <x v="72"/>
  </r>
  <r>
    <n v="75"/>
    <x v="65"/>
    <x v="3"/>
    <x v="9"/>
    <x v="5"/>
    <x v="0"/>
    <x v="71"/>
    <x v="71"/>
    <x v="68"/>
    <x v="64"/>
    <x v="73"/>
  </r>
  <r>
    <n v="76"/>
    <x v="66"/>
    <x v="4"/>
    <x v="17"/>
    <x v="3"/>
    <x v="6"/>
    <x v="72"/>
    <x v="72"/>
    <x v="69"/>
    <x v="65"/>
    <x v="74"/>
  </r>
  <r>
    <n v="77"/>
    <x v="67"/>
    <x v="7"/>
    <x v="22"/>
    <x v="2"/>
    <x v="0"/>
    <x v="73"/>
    <x v="73"/>
    <x v="70"/>
    <x v="66"/>
    <x v="75"/>
  </r>
  <r>
    <n v="78"/>
    <x v="68"/>
    <x v="10"/>
    <x v="19"/>
    <x v="0"/>
    <x v="7"/>
    <x v="74"/>
    <x v="74"/>
    <x v="23"/>
    <x v="67"/>
    <x v="76"/>
  </r>
  <r>
    <n v="79"/>
    <x v="69"/>
    <x v="0"/>
    <x v="10"/>
    <x v="5"/>
    <x v="0"/>
    <x v="75"/>
    <x v="75"/>
    <x v="71"/>
    <x v="68"/>
    <x v="76"/>
  </r>
  <r>
    <n v="80"/>
    <x v="70"/>
    <x v="13"/>
    <x v="12"/>
    <x v="6"/>
    <x v="1"/>
    <x v="76"/>
    <x v="76"/>
    <x v="72"/>
    <x v="69"/>
    <x v="76"/>
  </r>
  <r>
    <n v="81"/>
    <x v="71"/>
    <x v="0"/>
    <x v="9"/>
    <x v="5"/>
    <x v="0"/>
    <x v="77"/>
    <x v="77"/>
    <x v="73"/>
    <x v="60"/>
    <x v="77"/>
  </r>
  <r>
    <n v="82"/>
    <x v="72"/>
    <x v="3"/>
    <x v="20"/>
    <x v="3"/>
    <x v="0"/>
    <x v="78"/>
    <x v="78"/>
    <x v="74"/>
    <x v="70"/>
    <x v="78"/>
  </r>
  <r>
    <n v="83"/>
    <x v="73"/>
    <x v="5"/>
    <x v="20"/>
    <x v="8"/>
    <x v="7"/>
    <x v="79"/>
    <x v="79"/>
    <x v="29"/>
    <x v="71"/>
    <x v="79"/>
  </r>
  <r>
    <n v="84"/>
    <x v="74"/>
    <x v="14"/>
    <x v="3"/>
    <x v="7"/>
    <x v="7"/>
    <x v="80"/>
    <x v="80"/>
    <x v="59"/>
    <x v="12"/>
    <x v="80"/>
  </r>
  <r>
    <n v="85"/>
    <x v="75"/>
    <x v="11"/>
    <x v="23"/>
    <x v="6"/>
    <x v="0"/>
    <x v="81"/>
    <x v="81"/>
    <x v="29"/>
    <x v="58"/>
    <x v="81"/>
  </r>
  <r>
    <n v="86"/>
    <x v="76"/>
    <x v="0"/>
    <x v="9"/>
    <x v="0"/>
    <x v="8"/>
    <x v="82"/>
    <x v="25"/>
    <x v="75"/>
    <x v="72"/>
    <x v="82"/>
  </r>
  <r>
    <n v="87"/>
    <x v="77"/>
    <x v="6"/>
    <x v="16"/>
    <x v="3"/>
    <x v="3"/>
    <x v="78"/>
    <x v="82"/>
    <x v="76"/>
    <x v="73"/>
    <x v="83"/>
  </r>
  <r>
    <n v="88"/>
    <x v="78"/>
    <x v="12"/>
    <x v="8"/>
    <x v="3"/>
    <x v="9"/>
    <x v="83"/>
    <x v="83"/>
    <x v="77"/>
    <x v="45"/>
    <x v="84"/>
  </r>
  <r>
    <n v="89"/>
    <x v="79"/>
    <x v="3"/>
    <x v="2"/>
    <x v="3"/>
    <x v="0"/>
    <x v="84"/>
    <x v="84"/>
    <x v="49"/>
    <x v="18"/>
    <x v="85"/>
  </r>
  <r>
    <n v="90"/>
    <x v="80"/>
    <x v="15"/>
    <x v="26"/>
    <x v="4"/>
    <x v="10"/>
    <x v="85"/>
    <x v="85"/>
    <x v="59"/>
    <x v="69"/>
    <x v="86"/>
  </r>
  <r>
    <n v="91"/>
    <x v="81"/>
    <x v="16"/>
    <x v="7"/>
    <x v="8"/>
    <x v="2"/>
    <x v="86"/>
    <x v="43"/>
    <x v="15"/>
    <x v="74"/>
    <x v="87"/>
  </r>
  <r>
    <n v="92"/>
    <x v="82"/>
    <x v="0"/>
    <x v="10"/>
    <x v="1"/>
    <x v="0"/>
    <x v="62"/>
    <x v="86"/>
    <x v="78"/>
    <x v="75"/>
    <x v="88"/>
  </r>
  <r>
    <n v="93"/>
    <x v="83"/>
    <x v="10"/>
    <x v="19"/>
    <x v="6"/>
    <x v="7"/>
    <x v="87"/>
    <x v="87"/>
    <x v="79"/>
    <x v="76"/>
    <x v="89"/>
  </r>
  <r>
    <n v="94"/>
    <x v="84"/>
    <x v="10"/>
    <x v="21"/>
    <x v="6"/>
    <x v="4"/>
    <x v="88"/>
    <x v="88"/>
    <x v="50"/>
    <x v="20"/>
    <x v="90"/>
  </r>
  <r>
    <n v="95"/>
    <x v="85"/>
    <x v="11"/>
    <x v="18"/>
    <x v="8"/>
    <x v="0"/>
    <x v="89"/>
    <x v="89"/>
    <x v="80"/>
    <x v="77"/>
    <x v="90"/>
  </r>
  <r>
    <n v="96"/>
    <x v="86"/>
    <x v="12"/>
    <x v="23"/>
    <x v="1"/>
    <x v="3"/>
    <x v="90"/>
    <x v="90"/>
    <x v="81"/>
    <x v="78"/>
    <x v="91"/>
  </r>
  <r>
    <n v="97"/>
    <x v="87"/>
    <x v="1"/>
    <x v="14"/>
    <x v="1"/>
    <x v="0"/>
    <x v="91"/>
    <x v="91"/>
    <x v="82"/>
    <x v="79"/>
    <x v="92"/>
  </r>
  <r>
    <n v="98"/>
    <x v="88"/>
    <x v="9"/>
    <x v="21"/>
    <x v="9"/>
    <x v="0"/>
    <x v="92"/>
    <x v="92"/>
    <x v="83"/>
    <x v="70"/>
    <x v="93"/>
  </r>
  <r>
    <n v="99"/>
    <x v="89"/>
    <x v="4"/>
    <x v="2"/>
    <x v="6"/>
    <x v="4"/>
    <x v="93"/>
    <x v="93"/>
    <x v="59"/>
    <x v="80"/>
    <x v="94"/>
  </r>
  <r>
    <n v="100"/>
    <x v="90"/>
    <x v="4"/>
    <x v="17"/>
    <x v="6"/>
    <x v="7"/>
    <x v="71"/>
    <x v="94"/>
    <x v="23"/>
    <x v="80"/>
    <x v="95"/>
  </r>
  <r>
    <n v="101"/>
    <x v="91"/>
    <x v="0"/>
    <x v="0"/>
    <x v="8"/>
    <x v="0"/>
    <x v="94"/>
    <x v="95"/>
    <x v="84"/>
    <x v="64"/>
    <x v="96"/>
  </r>
  <r>
    <n v="102"/>
    <x v="32"/>
    <x v="17"/>
    <x v="19"/>
    <x v="6"/>
    <x v="4"/>
    <x v="95"/>
    <x v="96"/>
    <x v="63"/>
    <x v="81"/>
    <x v="97"/>
  </r>
  <r>
    <n v="103"/>
    <x v="92"/>
    <x v="0"/>
    <x v="3"/>
    <x v="5"/>
    <x v="5"/>
    <x v="96"/>
    <x v="97"/>
    <x v="59"/>
    <x v="60"/>
    <x v="98"/>
  </r>
  <r>
    <n v="104"/>
    <x v="90"/>
    <x v="5"/>
    <x v="17"/>
    <x v="6"/>
    <x v="7"/>
    <x v="97"/>
    <x v="98"/>
    <x v="33"/>
    <x v="82"/>
    <x v="99"/>
  </r>
  <r>
    <n v="105"/>
    <x v="93"/>
    <x v="6"/>
    <x v="27"/>
    <x v="2"/>
    <x v="7"/>
    <x v="98"/>
    <x v="43"/>
    <x v="36"/>
    <x v="39"/>
    <x v="100"/>
  </r>
  <r>
    <n v="106"/>
    <x v="94"/>
    <x v="12"/>
    <x v="18"/>
    <x v="9"/>
    <x v="3"/>
    <x v="98"/>
    <x v="99"/>
    <x v="85"/>
    <x v="49"/>
    <x v="101"/>
  </r>
  <r>
    <n v="107"/>
    <x v="95"/>
    <x v="12"/>
    <x v="18"/>
    <x v="1"/>
    <x v="3"/>
    <x v="99"/>
    <x v="100"/>
    <x v="86"/>
    <x v="83"/>
    <x v="102"/>
  </r>
  <r>
    <n v="108"/>
    <x v="96"/>
    <x v="18"/>
    <x v="16"/>
    <x v="9"/>
    <x v="0"/>
    <x v="100"/>
    <x v="101"/>
    <x v="87"/>
    <x v="84"/>
    <x v="103"/>
  </r>
  <r>
    <n v="109"/>
    <x v="97"/>
    <x v="19"/>
    <x v="21"/>
    <x v="2"/>
    <x v="0"/>
    <x v="101"/>
    <x v="82"/>
    <x v="88"/>
    <x v="85"/>
    <x v="104"/>
  </r>
  <r>
    <n v="110"/>
    <x v="98"/>
    <x v="10"/>
    <x v="19"/>
    <x v="3"/>
    <x v="6"/>
    <x v="102"/>
    <x v="59"/>
    <x v="15"/>
    <x v="82"/>
    <x v="104"/>
  </r>
  <r>
    <n v="111"/>
    <x v="99"/>
    <x v="18"/>
    <x v="27"/>
    <x v="2"/>
    <x v="0"/>
    <x v="103"/>
    <x v="102"/>
    <x v="89"/>
    <x v="79"/>
    <x v="105"/>
  </r>
  <r>
    <n v="112"/>
    <x v="100"/>
    <x v="0"/>
    <x v="20"/>
    <x v="5"/>
    <x v="5"/>
    <x v="104"/>
    <x v="103"/>
    <x v="59"/>
    <x v="86"/>
    <x v="106"/>
  </r>
  <r>
    <n v="113"/>
    <x v="101"/>
    <x v="5"/>
    <x v="11"/>
    <x v="0"/>
    <x v="7"/>
    <x v="105"/>
    <x v="104"/>
    <x v="35"/>
    <x v="87"/>
    <x v="107"/>
  </r>
  <r>
    <n v="114"/>
    <x v="102"/>
    <x v="6"/>
    <x v="12"/>
    <x v="2"/>
    <x v="7"/>
    <x v="106"/>
    <x v="105"/>
    <x v="36"/>
    <x v="88"/>
    <x v="107"/>
  </r>
  <r>
    <n v="115"/>
    <x v="103"/>
    <x v="6"/>
    <x v="15"/>
    <x v="6"/>
    <x v="7"/>
    <x v="87"/>
    <x v="106"/>
    <x v="90"/>
    <x v="89"/>
    <x v="108"/>
  </r>
  <r>
    <n v="116"/>
    <x v="104"/>
    <x v="5"/>
    <x v="17"/>
    <x v="8"/>
    <x v="3"/>
    <x v="107"/>
    <x v="107"/>
    <x v="91"/>
    <x v="90"/>
    <x v="108"/>
  </r>
  <r>
    <n v="117"/>
    <x v="105"/>
    <x v="12"/>
    <x v="4"/>
    <x v="1"/>
    <x v="3"/>
    <x v="108"/>
    <x v="108"/>
    <x v="92"/>
    <x v="91"/>
    <x v="109"/>
  </r>
  <r>
    <n v="118"/>
    <x v="106"/>
    <x v="0"/>
    <x v="10"/>
    <x v="0"/>
    <x v="11"/>
    <x v="109"/>
    <x v="109"/>
    <x v="59"/>
    <x v="81"/>
    <x v="110"/>
  </r>
  <r>
    <n v="119"/>
    <x v="107"/>
    <x v="4"/>
    <x v="2"/>
    <x v="6"/>
    <x v="1"/>
    <x v="110"/>
    <x v="110"/>
    <x v="23"/>
    <x v="75"/>
    <x v="111"/>
  </r>
  <r>
    <n v="120"/>
    <x v="108"/>
    <x v="5"/>
    <x v="3"/>
    <x v="8"/>
    <x v="3"/>
    <x v="98"/>
    <x v="111"/>
    <x v="93"/>
    <x v="4"/>
    <x v="112"/>
  </r>
  <r>
    <n v="121"/>
    <x v="61"/>
    <x v="5"/>
    <x v="9"/>
    <x v="6"/>
    <x v="4"/>
    <x v="111"/>
    <x v="77"/>
    <x v="9"/>
    <x v="92"/>
    <x v="113"/>
  </r>
  <r>
    <n v="122"/>
    <x v="109"/>
    <x v="5"/>
    <x v="17"/>
    <x v="0"/>
    <x v="7"/>
    <x v="112"/>
    <x v="104"/>
    <x v="31"/>
    <x v="93"/>
    <x v="114"/>
  </r>
  <r>
    <n v="123"/>
    <x v="110"/>
    <x v="3"/>
    <x v="7"/>
    <x v="5"/>
    <x v="0"/>
    <x v="113"/>
    <x v="112"/>
    <x v="94"/>
    <x v="94"/>
    <x v="115"/>
  </r>
  <r>
    <n v="124"/>
    <x v="111"/>
    <x v="5"/>
    <x v="10"/>
    <x v="8"/>
    <x v="2"/>
    <x v="114"/>
    <x v="39"/>
    <x v="90"/>
    <x v="50"/>
    <x v="116"/>
  </r>
  <r>
    <n v="125"/>
    <x v="112"/>
    <x v="10"/>
    <x v="21"/>
    <x v="0"/>
    <x v="7"/>
    <x v="115"/>
    <x v="113"/>
    <x v="72"/>
    <x v="95"/>
    <x v="117"/>
  </r>
  <r>
    <n v="126"/>
    <x v="113"/>
    <x v="0"/>
    <x v="10"/>
    <x v="1"/>
    <x v="0"/>
    <x v="116"/>
    <x v="114"/>
    <x v="95"/>
    <x v="9"/>
    <x v="117"/>
  </r>
  <r>
    <n v="127"/>
    <x v="66"/>
    <x v="5"/>
    <x v="17"/>
    <x v="3"/>
    <x v="6"/>
    <x v="41"/>
    <x v="21"/>
    <x v="96"/>
    <x v="96"/>
    <x v="118"/>
  </r>
  <r>
    <n v="128"/>
    <x v="114"/>
    <x v="1"/>
    <x v="28"/>
    <x v="8"/>
    <x v="0"/>
    <x v="117"/>
    <x v="115"/>
    <x v="64"/>
    <x v="97"/>
    <x v="119"/>
  </r>
  <r>
    <n v="129"/>
    <x v="115"/>
    <x v="5"/>
    <x v="20"/>
    <x v="8"/>
    <x v="5"/>
    <x v="118"/>
    <x v="116"/>
    <x v="97"/>
    <x v="98"/>
    <x v="120"/>
  </r>
  <r>
    <n v="130"/>
    <x v="116"/>
    <x v="13"/>
    <x v="16"/>
    <x v="6"/>
    <x v="1"/>
    <x v="119"/>
    <x v="117"/>
    <x v="36"/>
    <x v="99"/>
    <x v="121"/>
  </r>
  <r>
    <n v="131"/>
    <x v="117"/>
    <x v="8"/>
    <x v="12"/>
    <x v="3"/>
    <x v="0"/>
    <x v="120"/>
    <x v="118"/>
    <x v="98"/>
    <x v="100"/>
    <x v="122"/>
  </r>
  <r>
    <n v="132"/>
    <x v="118"/>
    <x v="6"/>
    <x v="15"/>
    <x v="3"/>
    <x v="3"/>
    <x v="121"/>
    <x v="119"/>
    <x v="99"/>
    <x v="99"/>
    <x v="123"/>
  </r>
  <r>
    <n v="133"/>
    <x v="119"/>
    <x v="2"/>
    <x v="29"/>
    <x v="3"/>
    <x v="0"/>
    <x v="41"/>
    <x v="120"/>
    <x v="100"/>
    <x v="89"/>
    <x v="124"/>
  </r>
  <r>
    <n v="134"/>
    <x v="120"/>
    <x v="4"/>
    <x v="3"/>
    <x v="6"/>
    <x v="1"/>
    <x v="56"/>
    <x v="92"/>
    <x v="23"/>
    <x v="101"/>
    <x v="125"/>
  </r>
  <r>
    <n v="135"/>
    <x v="111"/>
    <x v="4"/>
    <x v="10"/>
    <x v="8"/>
    <x v="2"/>
    <x v="122"/>
    <x v="121"/>
    <x v="101"/>
    <x v="102"/>
    <x v="126"/>
  </r>
  <r>
    <n v="136"/>
    <x v="121"/>
    <x v="18"/>
    <x v="15"/>
    <x v="1"/>
    <x v="0"/>
    <x v="123"/>
    <x v="122"/>
    <x v="89"/>
    <x v="103"/>
    <x v="127"/>
  </r>
  <r>
    <n v="137"/>
    <x v="122"/>
    <x v="7"/>
    <x v="22"/>
    <x v="9"/>
    <x v="12"/>
    <x v="102"/>
    <x v="123"/>
    <x v="102"/>
    <x v="104"/>
    <x v="128"/>
  </r>
  <r>
    <n v="138"/>
    <x v="123"/>
    <x v="14"/>
    <x v="12"/>
    <x v="3"/>
    <x v="4"/>
    <x v="124"/>
    <x v="124"/>
    <x v="59"/>
    <x v="105"/>
    <x v="129"/>
  </r>
  <r>
    <n v="139"/>
    <x v="124"/>
    <x v="12"/>
    <x v="8"/>
    <x v="8"/>
    <x v="13"/>
    <x v="125"/>
    <x v="107"/>
    <x v="66"/>
    <x v="73"/>
    <x v="130"/>
  </r>
  <r>
    <n v="140"/>
    <x v="125"/>
    <x v="4"/>
    <x v="10"/>
    <x v="0"/>
    <x v="1"/>
    <x v="126"/>
    <x v="84"/>
    <x v="103"/>
    <x v="106"/>
    <x v="131"/>
  </r>
  <r>
    <n v="141"/>
    <x v="126"/>
    <x v="4"/>
    <x v="17"/>
    <x v="6"/>
    <x v="1"/>
    <x v="127"/>
    <x v="125"/>
    <x v="35"/>
    <x v="85"/>
    <x v="131"/>
  </r>
  <r>
    <n v="142"/>
    <x v="127"/>
    <x v="4"/>
    <x v="0"/>
    <x v="6"/>
    <x v="1"/>
    <x v="73"/>
    <x v="93"/>
    <x v="35"/>
    <x v="107"/>
    <x v="132"/>
  </r>
  <r>
    <n v="143"/>
    <x v="128"/>
    <x v="6"/>
    <x v="16"/>
    <x v="8"/>
    <x v="14"/>
    <x v="128"/>
    <x v="81"/>
    <x v="89"/>
    <x v="108"/>
    <x v="133"/>
  </r>
  <r>
    <n v="144"/>
    <x v="129"/>
    <x v="20"/>
    <x v="22"/>
    <x v="1"/>
    <x v="8"/>
    <x v="129"/>
    <x v="119"/>
    <x v="97"/>
    <x v="79"/>
    <x v="134"/>
  </r>
  <r>
    <n v="145"/>
    <x v="130"/>
    <x v="5"/>
    <x v="2"/>
    <x v="8"/>
    <x v="14"/>
    <x v="130"/>
    <x v="126"/>
    <x v="104"/>
    <x v="109"/>
    <x v="134"/>
  </r>
  <r>
    <n v="146"/>
    <x v="131"/>
    <x v="12"/>
    <x v="18"/>
    <x v="8"/>
    <x v="14"/>
    <x v="131"/>
    <x v="127"/>
    <x v="105"/>
    <x v="110"/>
    <x v="134"/>
  </r>
  <r>
    <n v="147"/>
    <x v="132"/>
    <x v="5"/>
    <x v="11"/>
    <x v="8"/>
    <x v="15"/>
    <x v="132"/>
    <x v="128"/>
    <x v="9"/>
    <x v="111"/>
    <x v="135"/>
  </r>
  <r>
    <n v="148"/>
    <x v="133"/>
    <x v="6"/>
    <x v="0"/>
    <x v="3"/>
    <x v="16"/>
    <x v="133"/>
    <x v="129"/>
    <x v="106"/>
    <x v="112"/>
    <x v="136"/>
  </r>
  <r>
    <n v="149"/>
    <x v="134"/>
    <x v="5"/>
    <x v="2"/>
    <x v="1"/>
    <x v="3"/>
    <x v="88"/>
    <x v="130"/>
    <x v="90"/>
    <x v="62"/>
    <x v="137"/>
  </r>
  <r>
    <n v="150"/>
    <x v="135"/>
    <x v="3"/>
    <x v="3"/>
    <x v="3"/>
    <x v="0"/>
    <x v="134"/>
    <x v="131"/>
    <x v="107"/>
    <x v="58"/>
    <x v="138"/>
  </r>
  <r>
    <n v="151"/>
    <x v="136"/>
    <x v="0"/>
    <x v="9"/>
    <x v="8"/>
    <x v="17"/>
    <x v="62"/>
    <x v="132"/>
    <x v="59"/>
    <x v="113"/>
    <x v="139"/>
  </r>
  <r>
    <n v="152"/>
    <x v="137"/>
    <x v="12"/>
    <x v="18"/>
    <x v="8"/>
    <x v="18"/>
    <x v="133"/>
    <x v="133"/>
    <x v="108"/>
    <x v="114"/>
    <x v="140"/>
  </r>
  <r>
    <n v="153"/>
    <x v="138"/>
    <x v="12"/>
    <x v="4"/>
    <x v="9"/>
    <x v="3"/>
    <x v="135"/>
    <x v="89"/>
    <x v="109"/>
    <x v="45"/>
    <x v="141"/>
  </r>
  <r>
    <n v="154"/>
    <x v="139"/>
    <x v="3"/>
    <x v="0"/>
    <x v="7"/>
    <x v="11"/>
    <x v="101"/>
    <x v="62"/>
    <x v="35"/>
    <x v="5"/>
    <x v="142"/>
  </r>
  <r>
    <n v="155"/>
    <x v="140"/>
    <x v="10"/>
    <x v="21"/>
    <x v="6"/>
    <x v="4"/>
    <x v="136"/>
    <x v="130"/>
    <x v="97"/>
    <x v="61"/>
    <x v="143"/>
  </r>
  <r>
    <n v="156"/>
    <x v="5"/>
    <x v="1"/>
    <x v="14"/>
    <x v="4"/>
    <x v="0"/>
    <x v="137"/>
    <x v="131"/>
    <x v="110"/>
    <x v="115"/>
    <x v="144"/>
  </r>
  <r>
    <n v="157"/>
    <x v="141"/>
    <x v="5"/>
    <x v="3"/>
    <x v="8"/>
    <x v="5"/>
    <x v="138"/>
    <x v="134"/>
    <x v="93"/>
    <x v="116"/>
    <x v="145"/>
  </r>
  <r>
    <n v="158"/>
    <x v="142"/>
    <x v="11"/>
    <x v="8"/>
    <x v="9"/>
    <x v="0"/>
    <x v="139"/>
    <x v="135"/>
    <x v="111"/>
    <x v="117"/>
    <x v="146"/>
  </r>
  <r>
    <n v="159"/>
    <x v="143"/>
    <x v="4"/>
    <x v="9"/>
    <x v="10"/>
    <x v="5"/>
    <x v="140"/>
    <x v="136"/>
    <x v="35"/>
    <x v="18"/>
    <x v="146"/>
  </r>
  <r>
    <n v="160"/>
    <x v="144"/>
    <x v="5"/>
    <x v="17"/>
    <x v="8"/>
    <x v="19"/>
    <x v="141"/>
    <x v="137"/>
    <x v="31"/>
    <x v="118"/>
    <x v="147"/>
  </r>
  <r>
    <n v="161"/>
    <x v="145"/>
    <x v="4"/>
    <x v="3"/>
    <x v="2"/>
    <x v="1"/>
    <x v="142"/>
    <x v="110"/>
    <x v="69"/>
    <x v="106"/>
    <x v="148"/>
  </r>
  <r>
    <n v="162"/>
    <x v="146"/>
    <x v="16"/>
    <x v="2"/>
    <x v="3"/>
    <x v="12"/>
    <x v="143"/>
    <x v="138"/>
    <x v="11"/>
    <x v="119"/>
    <x v="149"/>
  </r>
  <r>
    <n v="163"/>
    <x v="147"/>
    <x v="8"/>
    <x v="16"/>
    <x v="1"/>
    <x v="0"/>
    <x v="144"/>
    <x v="73"/>
    <x v="112"/>
    <x v="120"/>
    <x v="150"/>
  </r>
  <r>
    <n v="164"/>
    <x v="148"/>
    <x v="8"/>
    <x v="16"/>
    <x v="2"/>
    <x v="0"/>
    <x v="145"/>
    <x v="139"/>
    <x v="113"/>
    <x v="45"/>
    <x v="151"/>
  </r>
  <r>
    <n v="165"/>
    <x v="18"/>
    <x v="8"/>
    <x v="16"/>
    <x v="1"/>
    <x v="0"/>
    <x v="146"/>
    <x v="140"/>
    <x v="114"/>
    <x v="120"/>
    <x v="152"/>
  </r>
  <r>
    <n v="166"/>
    <x v="149"/>
    <x v="11"/>
    <x v="8"/>
    <x v="11"/>
    <x v="0"/>
    <x v="131"/>
    <x v="73"/>
    <x v="92"/>
    <x v="121"/>
    <x v="153"/>
  </r>
  <r>
    <n v="167"/>
    <x v="89"/>
    <x v="5"/>
    <x v="2"/>
    <x v="6"/>
    <x v="4"/>
    <x v="147"/>
    <x v="141"/>
    <x v="59"/>
    <x v="122"/>
    <x v="154"/>
  </r>
  <r>
    <n v="168"/>
    <x v="150"/>
    <x v="6"/>
    <x v="16"/>
    <x v="1"/>
    <x v="20"/>
    <x v="148"/>
    <x v="142"/>
    <x v="15"/>
    <x v="26"/>
    <x v="155"/>
  </r>
  <r>
    <n v="169"/>
    <x v="63"/>
    <x v="5"/>
    <x v="21"/>
    <x v="5"/>
    <x v="3"/>
    <x v="149"/>
    <x v="143"/>
    <x v="59"/>
    <x v="123"/>
    <x v="155"/>
  </r>
  <r>
    <n v="170"/>
    <x v="151"/>
    <x v="5"/>
    <x v="3"/>
    <x v="3"/>
    <x v="16"/>
    <x v="150"/>
    <x v="73"/>
    <x v="28"/>
    <x v="51"/>
    <x v="156"/>
  </r>
  <r>
    <n v="171"/>
    <x v="152"/>
    <x v="2"/>
    <x v="5"/>
    <x v="4"/>
    <x v="0"/>
    <x v="151"/>
    <x v="144"/>
    <x v="115"/>
    <x v="120"/>
    <x v="157"/>
  </r>
  <r>
    <n v="172"/>
    <x v="153"/>
    <x v="2"/>
    <x v="8"/>
    <x v="5"/>
    <x v="0"/>
    <x v="152"/>
    <x v="145"/>
    <x v="116"/>
    <x v="77"/>
    <x v="158"/>
  </r>
  <r>
    <n v="173"/>
    <x v="115"/>
    <x v="4"/>
    <x v="20"/>
    <x v="8"/>
    <x v="5"/>
    <x v="101"/>
    <x v="69"/>
    <x v="103"/>
    <x v="124"/>
    <x v="159"/>
  </r>
  <r>
    <n v="174"/>
    <x v="154"/>
    <x v="12"/>
    <x v="29"/>
    <x v="3"/>
    <x v="9"/>
    <x v="153"/>
    <x v="146"/>
    <x v="117"/>
    <x v="97"/>
    <x v="159"/>
  </r>
  <r>
    <n v="175"/>
    <x v="155"/>
    <x v="6"/>
    <x v="27"/>
    <x v="3"/>
    <x v="7"/>
    <x v="154"/>
    <x v="147"/>
    <x v="118"/>
    <x v="103"/>
    <x v="160"/>
  </r>
  <r>
    <n v="176"/>
    <x v="156"/>
    <x v="11"/>
    <x v="8"/>
    <x v="1"/>
    <x v="0"/>
    <x v="155"/>
    <x v="148"/>
    <x v="119"/>
    <x v="125"/>
    <x v="161"/>
  </r>
  <r>
    <n v="177"/>
    <x v="141"/>
    <x v="4"/>
    <x v="3"/>
    <x v="8"/>
    <x v="5"/>
    <x v="111"/>
    <x v="120"/>
    <x v="36"/>
    <x v="106"/>
    <x v="161"/>
  </r>
  <r>
    <n v="178"/>
    <x v="157"/>
    <x v="3"/>
    <x v="9"/>
    <x v="4"/>
    <x v="0"/>
    <x v="156"/>
    <x v="149"/>
    <x v="95"/>
    <x v="51"/>
    <x v="162"/>
  </r>
  <r>
    <n v="179"/>
    <x v="158"/>
    <x v="12"/>
    <x v="23"/>
    <x v="8"/>
    <x v="21"/>
    <x v="157"/>
    <x v="150"/>
    <x v="120"/>
    <x v="83"/>
    <x v="163"/>
  </r>
  <r>
    <n v="180"/>
    <x v="159"/>
    <x v="6"/>
    <x v="30"/>
    <x v="0"/>
    <x v="7"/>
    <x v="158"/>
    <x v="151"/>
    <x v="63"/>
    <x v="12"/>
    <x v="164"/>
  </r>
  <r>
    <n v="181"/>
    <x v="160"/>
    <x v="6"/>
    <x v="12"/>
    <x v="3"/>
    <x v="16"/>
    <x v="159"/>
    <x v="152"/>
    <x v="121"/>
    <x v="120"/>
    <x v="165"/>
  </r>
  <r>
    <n v="182"/>
    <x v="161"/>
    <x v="14"/>
    <x v="20"/>
    <x v="3"/>
    <x v="4"/>
    <x v="160"/>
    <x v="56"/>
    <x v="59"/>
    <x v="94"/>
    <x v="166"/>
  </r>
  <r>
    <n v="183"/>
    <x v="22"/>
    <x v="8"/>
    <x v="27"/>
    <x v="1"/>
    <x v="0"/>
    <x v="87"/>
    <x v="153"/>
    <x v="104"/>
    <x v="120"/>
    <x v="166"/>
  </r>
  <r>
    <n v="184"/>
    <x v="162"/>
    <x v="19"/>
    <x v="20"/>
    <x v="1"/>
    <x v="0"/>
    <x v="161"/>
    <x v="117"/>
    <x v="88"/>
    <x v="78"/>
    <x v="167"/>
  </r>
  <r>
    <n v="185"/>
    <x v="163"/>
    <x v="2"/>
    <x v="25"/>
    <x v="1"/>
    <x v="0"/>
    <x v="136"/>
    <x v="154"/>
    <x v="122"/>
    <x v="58"/>
    <x v="167"/>
  </r>
  <r>
    <n v="186"/>
    <x v="73"/>
    <x v="4"/>
    <x v="20"/>
    <x v="8"/>
    <x v="7"/>
    <x v="162"/>
    <x v="155"/>
    <x v="103"/>
    <x v="5"/>
    <x v="168"/>
  </r>
  <r>
    <n v="187"/>
    <x v="164"/>
    <x v="3"/>
    <x v="9"/>
    <x v="8"/>
    <x v="0"/>
    <x v="163"/>
    <x v="127"/>
    <x v="114"/>
    <x v="85"/>
    <x v="169"/>
  </r>
  <r>
    <n v="188"/>
    <x v="165"/>
    <x v="7"/>
    <x v="31"/>
    <x v="1"/>
    <x v="0"/>
    <x v="164"/>
    <x v="156"/>
    <x v="123"/>
    <x v="115"/>
    <x v="170"/>
  </r>
  <r>
    <n v="189"/>
    <x v="166"/>
    <x v="9"/>
    <x v="11"/>
    <x v="7"/>
    <x v="0"/>
    <x v="165"/>
    <x v="157"/>
    <x v="124"/>
    <x v="83"/>
    <x v="170"/>
  </r>
  <r>
    <n v="190"/>
    <x v="76"/>
    <x v="3"/>
    <x v="2"/>
    <x v="0"/>
    <x v="8"/>
    <x v="166"/>
    <x v="149"/>
    <x v="55"/>
    <x v="5"/>
    <x v="171"/>
  </r>
  <r>
    <n v="191"/>
    <x v="167"/>
    <x v="6"/>
    <x v="27"/>
    <x v="6"/>
    <x v="7"/>
    <x v="167"/>
    <x v="158"/>
    <x v="29"/>
    <x v="118"/>
    <x v="172"/>
  </r>
  <r>
    <n v="192"/>
    <x v="168"/>
    <x v="2"/>
    <x v="22"/>
    <x v="1"/>
    <x v="0"/>
    <x v="106"/>
    <x v="159"/>
    <x v="125"/>
    <x v="115"/>
    <x v="172"/>
  </r>
  <r>
    <n v="193"/>
    <x v="169"/>
    <x v="4"/>
    <x v="10"/>
    <x v="3"/>
    <x v="1"/>
    <x v="168"/>
    <x v="140"/>
    <x v="72"/>
    <x v="126"/>
    <x v="172"/>
  </r>
  <r>
    <n v="194"/>
    <x v="84"/>
    <x v="17"/>
    <x v="21"/>
    <x v="6"/>
    <x v="4"/>
    <x v="146"/>
    <x v="76"/>
    <x v="63"/>
    <x v="126"/>
    <x v="172"/>
  </r>
  <r>
    <n v="195"/>
    <x v="170"/>
    <x v="14"/>
    <x v="4"/>
    <x v="7"/>
    <x v="1"/>
    <x v="169"/>
    <x v="160"/>
    <x v="59"/>
    <x v="120"/>
    <x v="173"/>
  </r>
  <r>
    <n v="196"/>
    <x v="171"/>
    <x v="6"/>
    <x v="0"/>
    <x v="5"/>
    <x v="22"/>
    <x v="77"/>
    <x v="9"/>
    <x v="59"/>
    <x v="68"/>
    <x v="173"/>
  </r>
  <r>
    <n v="197"/>
    <x v="172"/>
    <x v="5"/>
    <x v="3"/>
    <x v="8"/>
    <x v="12"/>
    <x v="170"/>
    <x v="161"/>
    <x v="126"/>
    <x v="48"/>
    <x v="174"/>
  </r>
  <r>
    <n v="198"/>
    <x v="16"/>
    <x v="17"/>
    <x v="21"/>
    <x v="8"/>
    <x v="2"/>
    <x v="171"/>
    <x v="81"/>
    <x v="59"/>
    <x v="63"/>
    <x v="175"/>
  </r>
  <r>
    <n v="199"/>
    <x v="173"/>
    <x v="16"/>
    <x v="0"/>
    <x v="8"/>
    <x v="2"/>
    <x v="172"/>
    <x v="157"/>
    <x v="97"/>
    <x v="43"/>
    <x v="175"/>
  </r>
  <r>
    <n v="200"/>
    <x v="174"/>
    <x v="5"/>
    <x v="10"/>
    <x v="0"/>
    <x v="7"/>
    <x v="173"/>
    <x v="87"/>
    <x v="23"/>
    <x v="31"/>
    <x v="175"/>
  </r>
  <r>
    <n v="201"/>
    <x v="1"/>
    <x v="2"/>
    <x v="8"/>
    <x v="1"/>
    <x v="0"/>
    <x v="174"/>
    <x v="117"/>
    <x v="127"/>
    <x v="84"/>
    <x v="176"/>
  </r>
  <r>
    <n v="202"/>
    <x v="175"/>
    <x v="12"/>
    <x v="4"/>
    <x v="8"/>
    <x v="18"/>
    <x v="175"/>
    <x v="162"/>
    <x v="128"/>
    <x v="60"/>
    <x v="177"/>
  </r>
  <r>
    <n v="203"/>
    <x v="176"/>
    <x v="12"/>
    <x v="8"/>
    <x v="0"/>
    <x v="4"/>
    <x v="176"/>
    <x v="163"/>
    <x v="66"/>
    <x v="120"/>
    <x v="178"/>
  </r>
  <r>
    <n v="204"/>
    <x v="88"/>
    <x v="19"/>
    <x v="21"/>
    <x v="9"/>
    <x v="0"/>
    <x v="177"/>
    <x v="164"/>
    <x v="129"/>
    <x v="102"/>
    <x v="178"/>
  </r>
  <r>
    <n v="205"/>
    <x v="177"/>
    <x v="12"/>
    <x v="8"/>
    <x v="11"/>
    <x v="21"/>
    <x v="114"/>
    <x v="89"/>
    <x v="59"/>
    <x v="73"/>
    <x v="179"/>
  </r>
  <r>
    <n v="206"/>
    <x v="178"/>
    <x v="12"/>
    <x v="18"/>
    <x v="1"/>
    <x v="3"/>
    <x v="178"/>
    <x v="165"/>
    <x v="35"/>
    <x v="100"/>
    <x v="180"/>
  </r>
  <r>
    <n v="207"/>
    <x v="179"/>
    <x v="0"/>
    <x v="9"/>
    <x v="6"/>
    <x v="0"/>
    <x v="179"/>
    <x v="91"/>
    <x v="130"/>
    <x v="22"/>
    <x v="180"/>
  </r>
  <r>
    <n v="208"/>
    <x v="180"/>
    <x v="6"/>
    <x v="9"/>
    <x v="5"/>
    <x v="4"/>
    <x v="180"/>
    <x v="46"/>
    <x v="63"/>
    <x v="127"/>
    <x v="181"/>
  </r>
  <r>
    <n v="209"/>
    <x v="181"/>
    <x v="4"/>
    <x v="2"/>
    <x v="3"/>
    <x v="6"/>
    <x v="181"/>
    <x v="166"/>
    <x v="101"/>
    <x v="124"/>
    <x v="182"/>
  </r>
  <r>
    <n v="210"/>
    <x v="182"/>
    <x v="3"/>
    <x v="9"/>
    <x v="3"/>
    <x v="0"/>
    <x v="182"/>
    <x v="119"/>
    <x v="131"/>
    <x v="128"/>
    <x v="182"/>
  </r>
  <r>
    <n v="211"/>
    <x v="183"/>
    <x v="5"/>
    <x v="9"/>
    <x v="8"/>
    <x v="3"/>
    <x v="183"/>
    <x v="167"/>
    <x v="132"/>
    <x v="52"/>
    <x v="183"/>
  </r>
  <r>
    <n v="212"/>
    <x v="184"/>
    <x v="6"/>
    <x v="7"/>
    <x v="0"/>
    <x v="7"/>
    <x v="184"/>
    <x v="151"/>
    <x v="63"/>
    <x v="129"/>
    <x v="184"/>
  </r>
  <r>
    <n v="213"/>
    <x v="136"/>
    <x v="3"/>
    <x v="9"/>
    <x v="8"/>
    <x v="17"/>
    <x v="185"/>
    <x v="168"/>
    <x v="59"/>
    <x v="22"/>
    <x v="185"/>
  </r>
  <r>
    <n v="214"/>
    <x v="185"/>
    <x v="11"/>
    <x v="23"/>
    <x v="2"/>
    <x v="0"/>
    <x v="78"/>
    <x v="169"/>
    <x v="133"/>
    <x v="130"/>
    <x v="186"/>
  </r>
  <r>
    <n v="215"/>
    <x v="186"/>
    <x v="16"/>
    <x v="10"/>
    <x v="3"/>
    <x v="12"/>
    <x v="186"/>
    <x v="129"/>
    <x v="134"/>
    <x v="105"/>
    <x v="187"/>
  </r>
  <r>
    <n v="216"/>
    <x v="152"/>
    <x v="1"/>
    <x v="13"/>
    <x v="4"/>
    <x v="0"/>
    <x v="145"/>
    <x v="135"/>
    <x v="135"/>
    <x v="130"/>
    <x v="188"/>
  </r>
  <r>
    <n v="217"/>
    <x v="187"/>
    <x v="5"/>
    <x v="10"/>
    <x v="8"/>
    <x v="3"/>
    <x v="187"/>
    <x v="165"/>
    <x v="132"/>
    <x v="59"/>
    <x v="189"/>
  </r>
  <r>
    <n v="218"/>
    <x v="188"/>
    <x v="14"/>
    <x v="10"/>
    <x v="11"/>
    <x v="4"/>
    <x v="188"/>
    <x v="170"/>
    <x v="59"/>
    <x v="30"/>
    <x v="190"/>
  </r>
  <r>
    <n v="219"/>
    <x v="143"/>
    <x v="5"/>
    <x v="9"/>
    <x v="10"/>
    <x v="5"/>
    <x v="189"/>
    <x v="171"/>
    <x v="101"/>
    <x v="109"/>
    <x v="190"/>
  </r>
  <r>
    <n v="220"/>
    <x v="112"/>
    <x v="5"/>
    <x v="21"/>
    <x v="0"/>
    <x v="7"/>
    <x v="190"/>
    <x v="172"/>
    <x v="60"/>
    <x v="57"/>
    <x v="191"/>
  </r>
  <r>
    <n v="221"/>
    <x v="189"/>
    <x v="12"/>
    <x v="8"/>
    <x v="2"/>
    <x v="3"/>
    <x v="120"/>
    <x v="173"/>
    <x v="55"/>
    <x v="100"/>
    <x v="192"/>
  </r>
  <r>
    <n v="222"/>
    <x v="190"/>
    <x v="10"/>
    <x v="32"/>
    <x v="0"/>
    <x v="7"/>
    <x v="191"/>
    <x v="18"/>
    <x v="23"/>
    <x v="80"/>
    <x v="193"/>
  </r>
  <r>
    <n v="223"/>
    <x v="144"/>
    <x v="4"/>
    <x v="17"/>
    <x v="8"/>
    <x v="19"/>
    <x v="142"/>
    <x v="174"/>
    <x v="60"/>
    <x v="63"/>
    <x v="194"/>
  </r>
  <r>
    <n v="224"/>
    <x v="191"/>
    <x v="12"/>
    <x v="29"/>
    <x v="8"/>
    <x v="10"/>
    <x v="192"/>
    <x v="175"/>
    <x v="66"/>
    <x v="131"/>
    <x v="195"/>
  </r>
  <r>
    <n v="225"/>
    <x v="192"/>
    <x v="6"/>
    <x v="27"/>
    <x v="2"/>
    <x v="23"/>
    <x v="193"/>
    <x v="95"/>
    <x v="59"/>
    <x v="32"/>
    <x v="196"/>
  </r>
  <r>
    <n v="226"/>
    <x v="193"/>
    <x v="12"/>
    <x v="29"/>
    <x v="0"/>
    <x v="4"/>
    <x v="194"/>
    <x v="176"/>
    <x v="66"/>
    <x v="120"/>
    <x v="197"/>
  </r>
  <r>
    <n v="227"/>
    <x v="194"/>
    <x v="0"/>
    <x v="2"/>
    <x v="7"/>
    <x v="0"/>
    <x v="195"/>
    <x v="145"/>
    <x v="136"/>
    <x v="128"/>
    <x v="197"/>
  </r>
  <r>
    <n v="228"/>
    <x v="195"/>
    <x v="6"/>
    <x v="15"/>
    <x v="8"/>
    <x v="7"/>
    <x v="196"/>
    <x v="134"/>
    <x v="36"/>
    <x v="64"/>
    <x v="198"/>
  </r>
  <r>
    <n v="229"/>
    <x v="196"/>
    <x v="4"/>
    <x v="17"/>
    <x v="2"/>
    <x v="1"/>
    <x v="197"/>
    <x v="49"/>
    <x v="23"/>
    <x v="9"/>
    <x v="199"/>
  </r>
  <r>
    <n v="230"/>
    <x v="197"/>
    <x v="12"/>
    <x v="4"/>
    <x v="8"/>
    <x v="21"/>
    <x v="198"/>
    <x v="121"/>
    <x v="29"/>
    <x v="110"/>
    <x v="200"/>
  </r>
  <r>
    <n v="231"/>
    <x v="180"/>
    <x v="0"/>
    <x v="9"/>
    <x v="5"/>
    <x v="4"/>
    <x v="179"/>
    <x v="145"/>
    <x v="59"/>
    <x v="124"/>
    <x v="201"/>
  </r>
  <r>
    <n v="232"/>
    <x v="198"/>
    <x v="7"/>
    <x v="33"/>
    <x v="8"/>
    <x v="0"/>
    <x v="199"/>
    <x v="177"/>
    <x v="137"/>
    <x v="132"/>
    <x v="202"/>
  </r>
  <r>
    <n v="233"/>
    <x v="199"/>
    <x v="18"/>
    <x v="15"/>
    <x v="8"/>
    <x v="0"/>
    <x v="200"/>
    <x v="169"/>
    <x v="133"/>
    <x v="132"/>
    <x v="203"/>
  </r>
  <r>
    <n v="234"/>
    <x v="200"/>
    <x v="0"/>
    <x v="3"/>
    <x v="0"/>
    <x v="8"/>
    <x v="201"/>
    <x v="178"/>
    <x v="79"/>
    <x v="133"/>
    <x v="204"/>
  </r>
  <r>
    <n v="235"/>
    <x v="201"/>
    <x v="9"/>
    <x v="11"/>
    <x v="8"/>
    <x v="0"/>
    <x v="202"/>
    <x v="179"/>
    <x v="46"/>
    <x v="91"/>
    <x v="204"/>
  </r>
  <r>
    <n v="236"/>
    <x v="202"/>
    <x v="19"/>
    <x v="19"/>
    <x v="6"/>
    <x v="0"/>
    <x v="203"/>
    <x v="180"/>
    <x v="138"/>
    <x v="70"/>
    <x v="205"/>
  </r>
  <r>
    <n v="237"/>
    <x v="132"/>
    <x v="10"/>
    <x v="21"/>
    <x v="8"/>
    <x v="3"/>
    <x v="202"/>
    <x v="141"/>
    <x v="35"/>
    <x v="26"/>
    <x v="206"/>
  </r>
  <r>
    <n v="238"/>
    <x v="180"/>
    <x v="4"/>
    <x v="9"/>
    <x v="5"/>
    <x v="4"/>
    <x v="204"/>
    <x v="181"/>
    <x v="63"/>
    <x v="21"/>
    <x v="207"/>
  </r>
  <r>
    <n v="239"/>
    <x v="203"/>
    <x v="6"/>
    <x v="12"/>
    <x v="0"/>
    <x v="7"/>
    <x v="205"/>
    <x v="151"/>
    <x v="63"/>
    <x v="69"/>
    <x v="207"/>
  </r>
  <r>
    <n v="240"/>
    <x v="204"/>
    <x v="15"/>
    <x v="34"/>
    <x v="1"/>
    <x v="4"/>
    <x v="206"/>
    <x v="182"/>
    <x v="59"/>
    <x v="134"/>
    <x v="208"/>
  </r>
  <r>
    <n v="241"/>
    <x v="205"/>
    <x v="6"/>
    <x v="0"/>
    <x v="0"/>
    <x v="7"/>
    <x v="207"/>
    <x v="182"/>
    <x v="63"/>
    <x v="101"/>
    <x v="209"/>
  </r>
  <r>
    <n v="242"/>
    <x v="206"/>
    <x v="6"/>
    <x v="15"/>
    <x v="8"/>
    <x v="4"/>
    <x v="106"/>
    <x v="183"/>
    <x v="103"/>
    <x v="45"/>
    <x v="210"/>
  </r>
  <r>
    <n v="243"/>
    <x v="207"/>
    <x v="12"/>
    <x v="29"/>
    <x v="3"/>
    <x v="24"/>
    <x v="208"/>
    <x v="184"/>
    <x v="139"/>
    <x v="135"/>
    <x v="211"/>
  </r>
  <r>
    <n v="244"/>
    <x v="208"/>
    <x v="10"/>
    <x v="19"/>
    <x v="8"/>
    <x v="3"/>
    <x v="170"/>
    <x v="160"/>
    <x v="36"/>
    <x v="136"/>
    <x v="211"/>
  </r>
  <r>
    <n v="245"/>
    <x v="84"/>
    <x v="5"/>
    <x v="21"/>
    <x v="6"/>
    <x v="4"/>
    <x v="209"/>
    <x v="62"/>
    <x v="91"/>
    <x v="1"/>
    <x v="212"/>
  </r>
  <r>
    <n v="246"/>
    <x v="209"/>
    <x v="6"/>
    <x v="7"/>
    <x v="8"/>
    <x v="3"/>
    <x v="106"/>
    <x v="185"/>
    <x v="66"/>
    <x v="70"/>
    <x v="212"/>
  </r>
  <r>
    <n v="247"/>
    <x v="210"/>
    <x v="19"/>
    <x v="20"/>
    <x v="5"/>
    <x v="0"/>
    <x v="41"/>
    <x v="140"/>
    <x v="140"/>
    <x v="73"/>
    <x v="213"/>
  </r>
  <r>
    <n v="248"/>
    <x v="211"/>
    <x v="0"/>
    <x v="10"/>
    <x v="5"/>
    <x v="5"/>
    <x v="210"/>
    <x v="92"/>
    <x v="63"/>
    <x v="137"/>
    <x v="214"/>
  </r>
  <r>
    <n v="249"/>
    <x v="212"/>
    <x v="6"/>
    <x v="16"/>
    <x v="0"/>
    <x v="4"/>
    <x v="171"/>
    <x v="185"/>
    <x v="63"/>
    <x v="22"/>
    <x v="215"/>
  </r>
  <r>
    <n v="250"/>
    <x v="213"/>
    <x v="6"/>
    <x v="0"/>
    <x v="0"/>
    <x v="14"/>
    <x v="211"/>
    <x v="186"/>
    <x v="141"/>
    <x v="138"/>
    <x v="216"/>
  </r>
  <r>
    <n v="251"/>
    <x v="214"/>
    <x v="4"/>
    <x v="0"/>
    <x v="3"/>
    <x v="2"/>
    <x v="84"/>
    <x v="187"/>
    <x v="29"/>
    <x v="139"/>
    <x v="216"/>
  </r>
  <r>
    <n v="252"/>
    <x v="215"/>
    <x v="1"/>
    <x v="35"/>
    <x v="10"/>
    <x v="0"/>
    <x v="212"/>
    <x v="188"/>
    <x v="142"/>
    <x v="69"/>
    <x v="217"/>
  </r>
  <r>
    <n v="253"/>
    <x v="216"/>
    <x v="6"/>
    <x v="7"/>
    <x v="2"/>
    <x v="7"/>
    <x v="213"/>
    <x v="189"/>
    <x v="36"/>
    <x v="9"/>
    <x v="218"/>
  </r>
  <r>
    <n v="254"/>
    <x v="217"/>
    <x v="5"/>
    <x v="0"/>
    <x v="6"/>
    <x v="3"/>
    <x v="193"/>
    <x v="167"/>
    <x v="50"/>
    <x v="140"/>
    <x v="219"/>
  </r>
  <r>
    <n v="255"/>
    <x v="218"/>
    <x v="20"/>
    <x v="33"/>
    <x v="1"/>
    <x v="8"/>
    <x v="214"/>
    <x v="177"/>
    <x v="143"/>
    <x v="132"/>
    <x v="220"/>
  </r>
  <r>
    <n v="256"/>
    <x v="219"/>
    <x v="6"/>
    <x v="7"/>
    <x v="3"/>
    <x v="16"/>
    <x v="215"/>
    <x v="190"/>
    <x v="144"/>
    <x v="103"/>
    <x v="221"/>
  </r>
  <r>
    <n v="257"/>
    <x v="101"/>
    <x v="4"/>
    <x v="11"/>
    <x v="0"/>
    <x v="7"/>
    <x v="216"/>
    <x v="98"/>
    <x v="63"/>
    <x v="22"/>
    <x v="222"/>
  </r>
  <r>
    <n v="258"/>
    <x v="84"/>
    <x v="4"/>
    <x v="21"/>
    <x v="6"/>
    <x v="4"/>
    <x v="217"/>
    <x v="91"/>
    <x v="59"/>
    <x v="128"/>
    <x v="222"/>
  </r>
  <r>
    <n v="259"/>
    <x v="220"/>
    <x v="15"/>
    <x v="36"/>
    <x v="6"/>
    <x v="10"/>
    <x v="218"/>
    <x v="151"/>
    <x v="59"/>
    <x v="134"/>
    <x v="222"/>
  </r>
  <r>
    <n v="260"/>
    <x v="221"/>
    <x v="4"/>
    <x v="2"/>
    <x v="3"/>
    <x v="1"/>
    <x v="219"/>
    <x v="191"/>
    <x v="31"/>
    <x v="63"/>
    <x v="222"/>
  </r>
  <r>
    <n v="261"/>
    <x v="222"/>
    <x v="17"/>
    <x v="19"/>
    <x v="6"/>
    <x v="1"/>
    <x v="118"/>
    <x v="119"/>
    <x v="103"/>
    <x v="137"/>
    <x v="223"/>
  </r>
  <r>
    <n v="262"/>
    <x v="223"/>
    <x v="19"/>
    <x v="11"/>
    <x v="1"/>
    <x v="0"/>
    <x v="220"/>
    <x v="140"/>
    <x v="145"/>
    <x v="91"/>
    <x v="224"/>
  </r>
  <r>
    <n v="263"/>
    <x v="224"/>
    <x v="5"/>
    <x v="3"/>
    <x v="8"/>
    <x v="21"/>
    <x v="221"/>
    <x v="192"/>
    <x v="35"/>
    <x v="101"/>
    <x v="224"/>
  </r>
  <r>
    <n v="264"/>
    <x v="225"/>
    <x v="5"/>
    <x v="17"/>
    <x v="8"/>
    <x v="5"/>
    <x v="222"/>
    <x v="157"/>
    <x v="69"/>
    <x v="108"/>
    <x v="225"/>
  </r>
  <r>
    <n v="265"/>
    <x v="226"/>
    <x v="8"/>
    <x v="16"/>
    <x v="5"/>
    <x v="25"/>
    <x v="223"/>
    <x v="140"/>
    <x v="72"/>
    <x v="99"/>
    <x v="225"/>
  </r>
  <r>
    <n v="266"/>
    <x v="227"/>
    <x v="6"/>
    <x v="12"/>
    <x v="8"/>
    <x v="14"/>
    <x v="224"/>
    <x v="129"/>
    <x v="104"/>
    <x v="141"/>
    <x v="226"/>
  </r>
  <r>
    <n v="267"/>
    <x v="228"/>
    <x v="16"/>
    <x v="0"/>
    <x v="1"/>
    <x v="3"/>
    <x v="128"/>
    <x v="193"/>
    <x v="59"/>
    <x v="140"/>
    <x v="227"/>
  </r>
  <r>
    <n v="268"/>
    <x v="229"/>
    <x v="14"/>
    <x v="31"/>
    <x v="11"/>
    <x v="4"/>
    <x v="172"/>
    <x v="194"/>
    <x v="59"/>
    <x v="45"/>
    <x v="228"/>
  </r>
  <r>
    <n v="269"/>
    <x v="85"/>
    <x v="9"/>
    <x v="17"/>
    <x v="8"/>
    <x v="0"/>
    <x v="213"/>
    <x v="191"/>
    <x v="146"/>
    <x v="91"/>
    <x v="228"/>
  </r>
  <r>
    <n v="270"/>
    <x v="230"/>
    <x v="6"/>
    <x v="7"/>
    <x v="0"/>
    <x v="7"/>
    <x v="105"/>
    <x v="195"/>
    <x v="60"/>
    <x v="122"/>
    <x v="228"/>
  </r>
  <r>
    <n v="271"/>
    <x v="231"/>
    <x v="6"/>
    <x v="27"/>
    <x v="5"/>
    <x v="3"/>
    <x v="225"/>
    <x v="77"/>
    <x v="120"/>
    <x v="109"/>
    <x v="229"/>
  </r>
  <r>
    <n v="272"/>
    <x v="232"/>
    <x v="10"/>
    <x v="32"/>
    <x v="6"/>
    <x v="3"/>
    <x v="226"/>
    <x v="82"/>
    <x v="147"/>
    <x v="48"/>
    <x v="229"/>
  </r>
  <r>
    <n v="273"/>
    <x v="233"/>
    <x v="5"/>
    <x v="9"/>
    <x v="2"/>
    <x v="3"/>
    <x v="227"/>
    <x v="127"/>
    <x v="148"/>
    <x v="113"/>
    <x v="229"/>
  </r>
  <r>
    <n v="274"/>
    <x v="225"/>
    <x v="4"/>
    <x v="17"/>
    <x v="8"/>
    <x v="5"/>
    <x v="228"/>
    <x v="133"/>
    <x v="60"/>
    <x v="70"/>
    <x v="230"/>
  </r>
  <r>
    <n v="275"/>
    <x v="234"/>
    <x v="5"/>
    <x v="3"/>
    <x v="9"/>
    <x v="12"/>
    <x v="229"/>
    <x v="164"/>
    <x v="149"/>
    <x v="113"/>
    <x v="230"/>
  </r>
  <r>
    <n v="276"/>
    <x v="109"/>
    <x v="4"/>
    <x v="17"/>
    <x v="0"/>
    <x v="7"/>
    <x v="112"/>
    <x v="196"/>
    <x v="66"/>
    <x v="113"/>
    <x v="230"/>
  </r>
  <r>
    <n v="277"/>
    <x v="235"/>
    <x v="1"/>
    <x v="5"/>
    <x v="8"/>
    <x v="26"/>
    <x v="230"/>
    <x v="197"/>
    <x v="150"/>
    <x v="117"/>
    <x v="231"/>
  </r>
  <r>
    <n v="278"/>
    <x v="236"/>
    <x v="1"/>
    <x v="6"/>
    <x v="2"/>
    <x v="0"/>
    <x v="231"/>
    <x v="198"/>
    <x v="122"/>
    <x v="99"/>
    <x v="232"/>
  </r>
  <r>
    <n v="279"/>
    <x v="237"/>
    <x v="12"/>
    <x v="23"/>
    <x v="8"/>
    <x v="27"/>
    <x v="232"/>
    <x v="199"/>
    <x v="59"/>
    <x v="115"/>
    <x v="232"/>
  </r>
  <r>
    <n v="280"/>
    <x v="238"/>
    <x v="6"/>
    <x v="15"/>
    <x v="0"/>
    <x v="7"/>
    <x v="178"/>
    <x v="200"/>
    <x v="63"/>
    <x v="86"/>
    <x v="233"/>
  </r>
  <r>
    <n v="281"/>
    <x v="239"/>
    <x v="10"/>
    <x v="21"/>
    <x v="8"/>
    <x v="5"/>
    <x v="233"/>
    <x v="78"/>
    <x v="31"/>
    <x v="1"/>
    <x v="233"/>
  </r>
  <r>
    <n v="282"/>
    <x v="240"/>
    <x v="14"/>
    <x v="23"/>
    <x v="6"/>
    <x v="23"/>
    <x v="234"/>
    <x v="129"/>
    <x v="101"/>
    <x v="105"/>
    <x v="234"/>
  </r>
  <r>
    <n v="283"/>
    <x v="241"/>
    <x v="7"/>
    <x v="31"/>
    <x v="1"/>
    <x v="0"/>
    <x v="235"/>
    <x v="159"/>
    <x v="151"/>
    <x v="121"/>
    <x v="234"/>
  </r>
  <r>
    <n v="284"/>
    <x v="242"/>
    <x v="6"/>
    <x v="0"/>
    <x v="0"/>
    <x v="7"/>
    <x v="236"/>
    <x v="149"/>
    <x v="103"/>
    <x v="42"/>
    <x v="235"/>
  </r>
  <r>
    <n v="285"/>
    <x v="243"/>
    <x v="0"/>
    <x v="17"/>
    <x v="8"/>
    <x v="0"/>
    <x v="237"/>
    <x v="119"/>
    <x v="152"/>
    <x v="139"/>
    <x v="236"/>
  </r>
  <r>
    <n v="286"/>
    <x v="244"/>
    <x v="7"/>
    <x v="22"/>
    <x v="9"/>
    <x v="12"/>
    <x v="238"/>
    <x v="201"/>
    <x v="153"/>
    <x v="99"/>
    <x v="236"/>
  </r>
  <r>
    <n v="287"/>
    <x v="245"/>
    <x v="0"/>
    <x v="9"/>
    <x v="5"/>
    <x v="2"/>
    <x v="239"/>
    <x v="202"/>
    <x v="72"/>
    <x v="21"/>
    <x v="236"/>
  </r>
  <r>
    <n v="288"/>
    <x v="98"/>
    <x v="17"/>
    <x v="19"/>
    <x v="3"/>
    <x v="6"/>
    <x v="128"/>
    <x v="122"/>
    <x v="63"/>
    <x v="128"/>
    <x v="237"/>
  </r>
  <r>
    <n v="289"/>
    <x v="246"/>
    <x v="14"/>
    <x v="9"/>
    <x v="3"/>
    <x v="4"/>
    <x v="120"/>
    <x v="203"/>
    <x v="59"/>
    <x v="105"/>
    <x v="237"/>
  </r>
  <r>
    <n v="290"/>
    <x v="247"/>
    <x v="4"/>
    <x v="10"/>
    <x v="3"/>
    <x v="6"/>
    <x v="240"/>
    <x v="164"/>
    <x v="60"/>
    <x v="73"/>
    <x v="238"/>
  </r>
  <r>
    <n v="291"/>
    <x v="248"/>
    <x v="6"/>
    <x v="9"/>
    <x v="8"/>
    <x v="3"/>
    <x v="161"/>
    <x v="204"/>
    <x v="60"/>
    <x v="15"/>
    <x v="239"/>
  </r>
  <r>
    <n v="292"/>
    <x v="249"/>
    <x v="4"/>
    <x v="9"/>
    <x v="2"/>
    <x v="1"/>
    <x v="241"/>
    <x v="205"/>
    <x v="103"/>
    <x v="63"/>
    <x v="240"/>
  </r>
  <r>
    <n v="293"/>
    <x v="250"/>
    <x v="6"/>
    <x v="7"/>
    <x v="0"/>
    <x v="14"/>
    <x v="242"/>
    <x v="5"/>
    <x v="154"/>
    <x v="1"/>
    <x v="240"/>
  </r>
  <r>
    <n v="294"/>
    <x v="251"/>
    <x v="12"/>
    <x v="4"/>
    <x v="5"/>
    <x v="3"/>
    <x v="83"/>
    <x v="206"/>
    <x v="97"/>
    <x v="125"/>
    <x v="241"/>
  </r>
  <r>
    <n v="295"/>
    <x v="252"/>
    <x v="6"/>
    <x v="29"/>
    <x v="9"/>
    <x v="25"/>
    <x v="243"/>
    <x v="183"/>
    <x v="155"/>
    <x v="55"/>
    <x v="241"/>
  </r>
  <r>
    <n v="296"/>
    <x v="253"/>
    <x v="10"/>
    <x v="21"/>
    <x v="6"/>
    <x v="5"/>
    <x v="244"/>
    <x v="207"/>
    <x v="69"/>
    <x v="80"/>
    <x v="242"/>
  </r>
  <r>
    <n v="297"/>
    <x v="254"/>
    <x v="11"/>
    <x v="23"/>
    <x v="6"/>
    <x v="0"/>
    <x v="245"/>
    <x v="190"/>
    <x v="156"/>
    <x v="117"/>
    <x v="242"/>
  </r>
  <r>
    <n v="298"/>
    <x v="63"/>
    <x v="10"/>
    <x v="21"/>
    <x v="5"/>
    <x v="15"/>
    <x v="246"/>
    <x v="141"/>
    <x v="132"/>
    <x v="48"/>
    <x v="243"/>
  </r>
  <r>
    <n v="299"/>
    <x v="255"/>
    <x v="1"/>
    <x v="6"/>
    <x v="0"/>
    <x v="0"/>
    <x v="156"/>
    <x v="208"/>
    <x v="157"/>
    <x v="117"/>
    <x v="244"/>
  </r>
  <r>
    <n v="300"/>
    <x v="181"/>
    <x v="5"/>
    <x v="2"/>
    <x v="3"/>
    <x v="6"/>
    <x v="247"/>
    <x v="119"/>
    <x v="35"/>
    <x v="30"/>
    <x v="244"/>
  </r>
  <r>
    <n v="301"/>
    <x v="256"/>
    <x v="3"/>
    <x v="9"/>
    <x v="4"/>
    <x v="0"/>
    <x v="216"/>
    <x v="84"/>
    <x v="158"/>
    <x v="128"/>
    <x v="245"/>
  </r>
  <r>
    <n v="302"/>
    <x v="257"/>
    <x v="4"/>
    <x v="3"/>
    <x v="6"/>
    <x v="7"/>
    <x v="210"/>
    <x v="209"/>
    <x v="72"/>
    <x v="128"/>
    <x v="246"/>
  </r>
  <r>
    <n v="303"/>
    <x v="258"/>
    <x v="6"/>
    <x v="7"/>
    <x v="5"/>
    <x v="25"/>
    <x v="197"/>
    <x v="92"/>
    <x v="59"/>
    <x v="142"/>
    <x v="247"/>
  </r>
  <r>
    <n v="304"/>
    <x v="259"/>
    <x v="0"/>
    <x v="3"/>
    <x v="0"/>
    <x v="7"/>
    <x v="164"/>
    <x v="165"/>
    <x v="23"/>
    <x v="139"/>
    <x v="248"/>
  </r>
  <r>
    <n v="305"/>
    <x v="260"/>
    <x v="10"/>
    <x v="21"/>
    <x v="8"/>
    <x v="5"/>
    <x v="248"/>
    <x v="210"/>
    <x v="36"/>
    <x v="64"/>
    <x v="248"/>
  </r>
  <r>
    <n v="306"/>
    <x v="261"/>
    <x v="2"/>
    <x v="25"/>
    <x v="1"/>
    <x v="0"/>
    <x v="149"/>
    <x v="211"/>
    <x v="159"/>
    <x v="115"/>
    <x v="249"/>
  </r>
  <r>
    <n v="307"/>
    <x v="262"/>
    <x v="6"/>
    <x v="27"/>
    <x v="0"/>
    <x v="4"/>
    <x v="198"/>
    <x v="212"/>
    <x v="63"/>
    <x v="21"/>
    <x v="250"/>
  </r>
  <r>
    <n v="308"/>
    <x v="263"/>
    <x v="5"/>
    <x v="11"/>
    <x v="8"/>
    <x v="5"/>
    <x v="249"/>
    <x v="69"/>
    <x v="29"/>
    <x v="60"/>
    <x v="251"/>
  </r>
  <r>
    <n v="309"/>
    <x v="264"/>
    <x v="9"/>
    <x v="21"/>
    <x v="3"/>
    <x v="0"/>
    <x v="250"/>
    <x v="213"/>
    <x v="160"/>
    <x v="115"/>
    <x v="251"/>
  </r>
  <r>
    <n v="310"/>
    <x v="265"/>
    <x v="5"/>
    <x v="0"/>
    <x v="2"/>
    <x v="3"/>
    <x v="251"/>
    <x v="214"/>
    <x v="23"/>
    <x v="81"/>
    <x v="252"/>
  </r>
  <r>
    <n v="311"/>
    <x v="66"/>
    <x v="14"/>
    <x v="17"/>
    <x v="3"/>
    <x v="6"/>
    <x v="252"/>
    <x v="96"/>
    <x v="59"/>
    <x v="75"/>
    <x v="252"/>
  </r>
  <r>
    <n v="312"/>
    <x v="266"/>
    <x v="6"/>
    <x v="7"/>
    <x v="9"/>
    <x v="25"/>
    <x v="253"/>
    <x v="62"/>
    <x v="150"/>
    <x v="64"/>
    <x v="253"/>
  </r>
  <r>
    <n v="313"/>
    <x v="267"/>
    <x v="1"/>
    <x v="14"/>
    <x v="3"/>
    <x v="24"/>
    <x v="211"/>
    <x v="129"/>
    <x v="0"/>
    <x v="105"/>
    <x v="253"/>
  </r>
  <r>
    <n v="314"/>
    <x v="268"/>
    <x v="5"/>
    <x v="10"/>
    <x v="0"/>
    <x v="3"/>
    <x v="254"/>
    <x v="215"/>
    <x v="69"/>
    <x v="106"/>
    <x v="253"/>
  </r>
  <r>
    <n v="315"/>
    <x v="269"/>
    <x v="10"/>
    <x v="19"/>
    <x v="0"/>
    <x v="2"/>
    <x v="255"/>
    <x v="216"/>
    <x v="103"/>
    <x v="80"/>
    <x v="254"/>
  </r>
  <r>
    <n v="316"/>
    <x v="270"/>
    <x v="6"/>
    <x v="12"/>
    <x v="0"/>
    <x v="14"/>
    <x v="256"/>
    <x v="89"/>
    <x v="161"/>
    <x v="68"/>
    <x v="254"/>
  </r>
  <r>
    <n v="317"/>
    <x v="271"/>
    <x v="3"/>
    <x v="9"/>
    <x v="5"/>
    <x v="0"/>
    <x v="257"/>
    <x v="173"/>
    <x v="141"/>
    <x v="55"/>
    <x v="255"/>
  </r>
  <r>
    <n v="318"/>
    <x v="272"/>
    <x v="12"/>
    <x v="31"/>
    <x v="5"/>
    <x v="3"/>
    <x v="254"/>
    <x v="217"/>
    <x v="79"/>
    <x v="125"/>
    <x v="255"/>
  </r>
  <r>
    <n v="319"/>
    <x v="273"/>
    <x v="2"/>
    <x v="22"/>
    <x v="8"/>
    <x v="0"/>
    <x v="258"/>
    <x v="144"/>
    <x v="162"/>
    <x v="132"/>
    <x v="256"/>
  </r>
  <r>
    <n v="320"/>
    <x v="274"/>
    <x v="3"/>
    <x v="3"/>
    <x v="3"/>
    <x v="0"/>
    <x v="135"/>
    <x v="198"/>
    <x v="53"/>
    <x v="143"/>
    <x v="256"/>
  </r>
  <r>
    <n v="321"/>
    <x v="275"/>
    <x v="0"/>
    <x v="9"/>
    <x v="5"/>
    <x v="0"/>
    <x v="79"/>
    <x v="218"/>
    <x v="17"/>
    <x v="70"/>
    <x v="257"/>
  </r>
  <r>
    <n v="322"/>
    <x v="276"/>
    <x v="9"/>
    <x v="17"/>
    <x v="7"/>
    <x v="0"/>
    <x v="259"/>
    <x v="219"/>
    <x v="163"/>
    <x v="143"/>
    <x v="258"/>
  </r>
  <r>
    <n v="323"/>
    <x v="277"/>
    <x v="10"/>
    <x v="19"/>
    <x v="8"/>
    <x v="19"/>
    <x v="260"/>
    <x v="118"/>
    <x v="69"/>
    <x v="101"/>
    <x v="259"/>
  </r>
  <r>
    <n v="324"/>
    <x v="278"/>
    <x v="0"/>
    <x v="17"/>
    <x v="0"/>
    <x v="8"/>
    <x v="261"/>
    <x v="137"/>
    <x v="164"/>
    <x v="22"/>
    <x v="260"/>
  </r>
  <r>
    <n v="325"/>
    <x v="279"/>
    <x v="4"/>
    <x v="2"/>
    <x v="8"/>
    <x v="4"/>
    <x v="262"/>
    <x v="166"/>
    <x v="59"/>
    <x v="144"/>
    <x v="260"/>
  </r>
  <r>
    <n v="326"/>
    <x v="280"/>
    <x v="12"/>
    <x v="4"/>
    <x v="8"/>
    <x v="18"/>
    <x v="263"/>
    <x v="73"/>
    <x v="24"/>
    <x v="131"/>
    <x v="261"/>
  </r>
  <r>
    <n v="327"/>
    <x v="281"/>
    <x v="16"/>
    <x v="9"/>
    <x v="1"/>
    <x v="3"/>
    <x v="233"/>
    <x v="220"/>
    <x v="69"/>
    <x v="116"/>
    <x v="261"/>
  </r>
  <r>
    <n v="328"/>
    <x v="282"/>
    <x v="0"/>
    <x v="11"/>
    <x v="5"/>
    <x v="5"/>
    <x v="167"/>
    <x v="133"/>
    <x v="59"/>
    <x v="145"/>
    <x v="262"/>
  </r>
  <r>
    <n v="329"/>
    <x v="283"/>
    <x v="14"/>
    <x v="15"/>
    <x v="7"/>
    <x v="7"/>
    <x v="213"/>
    <x v="120"/>
    <x v="59"/>
    <x v="103"/>
    <x v="262"/>
  </r>
  <r>
    <n v="330"/>
    <x v="284"/>
    <x v="0"/>
    <x v="9"/>
    <x v="1"/>
    <x v="0"/>
    <x v="167"/>
    <x v="221"/>
    <x v="165"/>
    <x v="145"/>
    <x v="262"/>
  </r>
  <r>
    <n v="331"/>
    <x v="285"/>
    <x v="12"/>
    <x v="16"/>
    <x v="8"/>
    <x v="7"/>
    <x v="264"/>
    <x v="171"/>
    <x v="50"/>
    <x v="84"/>
    <x v="263"/>
  </r>
  <r>
    <n v="332"/>
    <x v="286"/>
    <x v="10"/>
    <x v="19"/>
    <x v="3"/>
    <x v="25"/>
    <x v="165"/>
    <x v="171"/>
    <x v="93"/>
    <x v="86"/>
    <x v="263"/>
  </r>
  <r>
    <n v="333"/>
    <x v="287"/>
    <x v="12"/>
    <x v="8"/>
    <x v="8"/>
    <x v="21"/>
    <x v="226"/>
    <x v="146"/>
    <x v="131"/>
    <x v="115"/>
    <x v="264"/>
  </r>
  <r>
    <n v="334"/>
    <x v="288"/>
    <x v="12"/>
    <x v="29"/>
    <x v="1"/>
    <x v="3"/>
    <x v="265"/>
    <x v="118"/>
    <x v="59"/>
    <x v="79"/>
    <x v="265"/>
  </r>
  <r>
    <n v="335"/>
    <x v="289"/>
    <x v="6"/>
    <x v="12"/>
    <x v="0"/>
    <x v="7"/>
    <x v="266"/>
    <x v="149"/>
    <x v="60"/>
    <x v="30"/>
    <x v="266"/>
  </r>
  <r>
    <n v="336"/>
    <x v="290"/>
    <x v="2"/>
    <x v="18"/>
    <x v="11"/>
    <x v="0"/>
    <x v="260"/>
    <x v="222"/>
    <x v="144"/>
    <x v="130"/>
    <x v="266"/>
  </r>
  <r>
    <n v="337"/>
    <x v="291"/>
    <x v="5"/>
    <x v="11"/>
    <x v="6"/>
    <x v="7"/>
    <x v="226"/>
    <x v="183"/>
    <x v="164"/>
    <x v="101"/>
    <x v="267"/>
  </r>
  <r>
    <n v="338"/>
    <x v="292"/>
    <x v="3"/>
    <x v="9"/>
    <x v="7"/>
    <x v="7"/>
    <x v="267"/>
    <x v="214"/>
    <x v="36"/>
    <x v="63"/>
    <x v="267"/>
  </r>
  <r>
    <n v="339"/>
    <x v="293"/>
    <x v="3"/>
    <x v="3"/>
    <x v="5"/>
    <x v="0"/>
    <x v="186"/>
    <x v="129"/>
    <x v="166"/>
    <x v="105"/>
    <x v="268"/>
  </r>
  <r>
    <n v="340"/>
    <x v="294"/>
    <x v="6"/>
    <x v="15"/>
    <x v="0"/>
    <x v="4"/>
    <x v="239"/>
    <x v="91"/>
    <x v="63"/>
    <x v="55"/>
    <x v="268"/>
  </r>
  <r>
    <n v="341"/>
    <x v="295"/>
    <x v="16"/>
    <x v="7"/>
    <x v="2"/>
    <x v="2"/>
    <x v="235"/>
    <x v="223"/>
    <x v="59"/>
    <x v="32"/>
    <x v="269"/>
  </r>
  <r>
    <n v="342"/>
    <x v="296"/>
    <x v="11"/>
    <x v="18"/>
    <x v="1"/>
    <x v="0"/>
    <x v="195"/>
    <x v="224"/>
    <x v="167"/>
    <x v="130"/>
    <x v="270"/>
  </r>
  <r>
    <n v="343"/>
    <x v="297"/>
    <x v="6"/>
    <x v="15"/>
    <x v="6"/>
    <x v="3"/>
    <x v="268"/>
    <x v="225"/>
    <x v="23"/>
    <x v="110"/>
    <x v="270"/>
  </r>
  <r>
    <n v="344"/>
    <x v="298"/>
    <x v="0"/>
    <x v="2"/>
    <x v="5"/>
    <x v="4"/>
    <x v="269"/>
    <x v="226"/>
    <x v="59"/>
    <x v="55"/>
    <x v="270"/>
  </r>
  <r>
    <n v="345"/>
    <x v="299"/>
    <x v="5"/>
    <x v="11"/>
    <x v="2"/>
    <x v="3"/>
    <x v="236"/>
    <x v="227"/>
    <x v="168"/>
    <x v="136"/>
    <x v="271"/>
  </r>
  <r>
    <n v="346"/>
    <x v="300"/>
    <x v="6"/>
    <x v="16"/>
    <x v="1"/>
    <x v="3"/>
    <x v="197"/>
    <x v="228"/>
    <x v="127"/>
    <x v="73"/>
    <x v="271"/>
  </r>
  <r>
    <n v="347"/>
    <x v="301"/>
    <x v="11"/>
    <x v="8"/>
    <x v="7"/>
    <x v="0"/>
    <x v="221"/>
    <x v="229"/>
    <x v="75"/>
    <x v="125"/>
    <x v="272"/>
  </r>
  <r>
    <n v="348"/>
    <x v="302"/>
    <x v="5"/>
    <x v="3"/>
    <x v="0"/>
    <x v="7"/>
    <x v="173"/>
    <x v="150"/>
    <x v="72"/>
    <x v="51"/>
    <x v="272"/>
  </r>
  <r>
    <n v="349"/>
    <x v="303"/>
    <x v="6"/>
    <x v="9"/>
    <x v="0"/>
    <x v="14"/>
    <x v="270"/>
    <x v="129"/>
    <x v="156"/>
    <x v="146"/>
    <x v="272"/>
  </r>
  <r>
    <n v="350"/>
    <x v="53"/>
    <x v="10"/>
    <x v="11"/>
    <x v="6"/>
    <x v="4"/>
    <x v="202"/>
    <x v="230"/>
    <x v="72"/>
    <x v="126"/>
    <x v="272"/>
  </r>
  <r>
    <n v="351"/>
    <x v="304"/>
    <x v="6"/>
    <x v="7"/>
    <x v="8"/>
    <x v="12"/>
    <x v="197"/>
    <x v="123"/>
    <x v="140"/>
    <x v="131"/>
    <x v="273"/>
  </r>
  <r>
    <n v="352"/>
    <x v="305"/>
    <x v="10"/>
    <x v="32"/>
    <x v="6"/>
    <x v="5"/>
    <x v="227"/>
    <x v="214"/>
    <x v="127"/>
    <x v="102"/>
    <x v="274"/>
  </r>
  <r>
    <n v="353"/>
    <x v="306"/>
    <x v="6"/>
    <x v="12"/>
    <x v="6"/>
    <x v="17"/>
    <x v="265"/>
    <x v="223"/>
    <x v="103"/>
    <x v="124"/>
    <x v="274"/>
  </r>
  <r>
    <n v="354"/>
    <x v="307"/>
    <x v="14"/>
    <x v="25"/>
    <x v="6"/>
    <x v="18"/>
    <x v="175"/>
    <x v="220"/>
    <x v="59"/>
    <x v="77"/>
    <x v="274"/>
  </r>
  <r>
    <n v="355"/>
    <x v="308"/>
    <x v="6"/>
    <x v="16"/>
    <x v="2"/>
    <x v="7"/>
    <x v="229"/>
    <x v="212"/>
    <x v="59"/>
    <x v="21"/>
    <x v="274"/>
  </r>
  <r>
    <n v="356"/>
    <x v="309"/>
    <x v="3"/>
    <x v="9"/>
    <x v="7"/>
    <x v="11"/>
    <x v="271"/>
    <x v="202"/>
    <x v="69"/>
    <x v="137"/>
    <x v="274"/>
  </r>
  <r>
    <n v="357"/>
    <x v="310"/>
    <x v="18"/>
    <x v="16"/>
    <x v="8"/>
    <x v="0"/>
    <x v="272"/>
    <x v="231"/>
    <x v="140"/>
    <x v="130"/>
    <x v="275"/>
  </r>
  <r>
    <n v="358"/>
    <x v="311"/>
    <x v="6"/>
    <x v="7"/>
    <x v="6"/>
    <x v="17"/>
    <x v="151"/>
    <x v="193"/>
    <x v="103"/>
    <x v="128"/>
    <x v="276"/>
  </r>
  <r>
    <n v="359"/>
    <x v="312"/>
    <x v="12"/>
    <x v="29"/>
    <x v="9"/>
    <x v="28"/>
    <x v="70"/>
    <x v="92"/>
    <x v="23"/>
    <x v="77"/>
    <x v="277"/>
  </r>
  <r>
    <n v="360"/>
    <x v="313"/>
    <x v="12"/>
    <x v="23"/>
    <x v="1"/>
    <x v="29"/>
    <x v="273"/>
    <x v="189"/>
    <x v="59"/>
    <x v="120"/>
    <x v="278"/>
  </r>
  <r>
    <n v="361"/>
    <x v="81"/>
    <x v="6"/>
    <x v="0"/>
    <x v="8"/>
    <x v="2"/>
    <x v="274"/>
    <x v="220"/>
    <x v="35"/>
    <x v="25"/>
    <x v="279"/>
  </r>
  <r>
    <n v="362"/>
    <x v="314"/>
    <x v="6"/>
    <x v="15"/>
    <x v="8"/>
    <x v="3"/>
    <x v="275"/>
    <x v="102"/>
    <x v="72"/>
    <x v="85"/>
    <x v="279"/>
  </r>
  <r>
    <n v="363"/>
    <x v="315"/>
    <x v="12"/>
    <x v="23"/>
    <x v="8"/>
    <x v="21"/>
    <x v="276"/>
    <x v="118"/>
    <x v="132"/>
    <x v="66"/>
    <x v="279"/>
  </r>
  <r>
    <n v="364"/>
    <x v="316"/>
    <x v="6"/>
    <x v="16"/>
    <x v="6"/>
    <x v="7"/>
    <x v="163"/>
    <x v="224"/>
    <x v="69"/>
    <x v="63"/>
    <x v="280"/>
  </r>
  <r>
    <n v="365"/>
    <x v="317"/>
    <x v="6"/>
    <x v="7"/>
    <x v="8"/>
    <x v="21"/>
    <x v="167"/>
    <x v="215"/>
    <x v="63"/>
    <x v="63"/>
    <x v="280"/>
  </r>
  <r>
    <n v="366"/>
    <x v="291"/>
    <x v="4"/>
    <x v="11"/>
    <x v="6"/>
    <x v="7"/>
    <x v="237"/>
    <x v="147"/>
    <x v="66"/>
    <x v="49"/>
    <x v="280"/>
  </r>
  <r>
    <n v="367"/>
    <x v="174"/>
    <x v="4"/>
    <x v="10"/>
    <x v="0"/>
    <x v="7"/>
    <x v="236"/>
    <x v="232"/>
    <x v="66"/>
    <x v="139"/>
    <x v="280"/>
  </r>
  <r>
    <n v="368"/>
    <x v="318"/>
    <x v="12"/>
    <x v="29"/>
    <x v="8"/>
    <x v="28"/>
    <x v="170"/>
    <x v="233"/>
    <x v="59"/>
    <x v="45"/>
    <x v="281"/>
  </r>
  <r>
    <n v="369"/>
    <x v="319"/>
    <x v="12"/>
    <x v="8"/>
    <x v="1"/>
    <x v="3"/>
    <x v="237"/>
    <x v="234"/>
    <x v="63"/>
    <x v="103"/>
    <x v="281"/>
  </r>
  <r>
    <n v="370"/>
    <x v="320"/>
    <x v="4"/>
    <x v="2"/>
    <x v="6"/>
    <x v="7"/>
    <x v="171"/>
    <x v="188"/>
    <x v="72"/>
    <x v="91"/>
    <x v="281"/>
  </r>
  <r>
    <n v="371"/>
    <x v="200"/>
    <x v="3"/>
    <x v="3"/>
    <x v="0"/>
    <x v="8"/>
    <x v="156"/>
    <x v="235"/>
    <x v="164"/>
    <x v="126"/>
    <x v="281"/>
  </r>
  <r>
    <n v="372"/>
    <x v="172"/>
    <x v="4"/>
    <x v="3"/>
    <x v="8"/>
    <x v="12"/>
    <x v="220"/>
    <x v="236"/>
    <x v="132"/>
    <x v="119"/>
    <x v="282"/>
  </r>
  <r>
    <n v="373"/>
    <x v="321"/>
    <x v="7"/>
    <x v="4"/>
    <x v="1"/>
    <x v="0"/>
    <x v="277"/>
    <x v="188"/>
    <x v="169"/>
    <x v="69"/>
    <x v="282"/>
  </r>
  <r>
    <n v="374"/>
    <x v="322"/>
    <x v="4"/>
    <x v="10"/>
    <x v="8"/>
    <x v="5"/>
    <x v="278"/>
    <x v="237"/>
    <x v="103"/>
    <x v="110"/>
    <x v="283"/>
  </r>
  <r>
    <n v="375"/>
    <x v="323"/>
    <x v="1"/>
    <x v="1"/>
    <x v="8"/>
    <x v="0"/>
    <x v="166"/>
    <x v="238"/>
    <x v="86"/>
    <x v="125"/>
    <x v="283"/>
  </r>
  <r>
    <n v="376"/>
    <x v="224"/>
    <x v="4"/>
    <x v="3"/>
    <x v="8"/>
    <x v="21"/>
    <x v="215"/>
    <x v="226"/>
    <x v="66"/>
    <x v="78"/>
    <x v="283"/>
  </r>
  <r>
    <n v="377"/>
    <x v="324"/>
    <x v="3"/>
    <x v="0"/>
    <x v="5"/>
    <x v="0"/>
    <x v="279"/>
    <x v="127"/>
    <x v="163"/>
    <x v="55"/>
    <x v="283"/>
  </r>
  <r>
    <n v="378"/>
    <x v="325"/>
    <x v="6"/>
    <x v="30"/>
    <x v="0"/>
    <x v="7"/>
    <x v="279"/>
    <x v="64"/>
    <x v="60"/>
    <x v="106"/>
    <x v="284"/>
  </r>
  <r>
    <n v="379"/>
    <x v="83"/>
    <x v="17"/>
    <x v="19"/>
    <x v="6"/>
    <x v="7"/>
    <x v="196"/>
    <x v="223"/>
    <x v="66"/>
    <x v="78"/>
    <x v="284"/>
  </r>
  <r>
    <n v="380"/>
    <x v="326"/>
    <x v="4"/>
    <x v="10"/>
    <x v="6"/>
    <x v="7"/>
    <x v="280"/>
    <x v="193"/>
    <x v="60"/>
    <x v="145"/>
    <x v="285"/>
  </r>
  <r>
    <n v="381"/>
    <x v="327"/>
    <x v="3"/>
    <x v="2"/>
    <x v="5"/>
    <x v="4"/>
    <x v="220"/>
    <x v="239"/>
    <x v="63"/>
    <x v="55"/>
    <x v="285"/>
  </r>
  <r>
    <n v="382"/>
    <x v="260"/>
    <x v="17"/>
    <x v="21"/>
    <x v="8"/>
    <x v="5"/>
    <x v="135"/>
    <x v="209"/>
    <x v="59"/>
    <x v="91"/>
    <x v="286"/>
  </r>
  <r>
    <n v="383"/>
    <x v="328"/>
    <x v="5"/>
    <x v="20"/>
    <x v="6"/>
    <x v="5"/>
    <x v="225"/>
    <x v="100"/>
    <x v="69"/>
    <x v="108"/>
    <x v="287"/>
  </r>
  <r>
    <n v="384"/>
    <x v="329"/>
    <x v="9"/>
    <x v="11"/>
    <x v="3"/>
    <x v="12"/>
    <x v="186"/>
    <x v="129"/>
    <x v="170"/>
    <x v="105"/>
    <x v="288"/>
  </r>
  <r>
    <n v="385"/>
    <x v="330"/>
    <x v="4"/>
    <x v="3"/>
    <x v="6"/>
    <x v="2"/>
    <x v="281"/>
    <x v="222"/>
    <x v="103"/>
    <x v="49"/>
    <x v="288"/>
  </r>
  <r>
    <n v="386"/>
    <x v="331"/>
    <x v="6"/>
    <x v="15"/>
    <x v="9"/>
    <x v="25"/>
    <x v="203"/>
    <x v="191"/>
    <x v="171"/>
    <x v="49"/>
    <x v="288"/>
  </r>
  <r>
    <n v="387"/>
    <x v="291"/>
    <x v="10"/>
    <x v="11"/>
    <x v="6"/>
    <x v="7"/>
    <x v="282"/>
    <x v="168"/>
    <x v="90"/>
    <x v="126"/>
    <x v="289"/>
  </r>
  <r>
    <n v="388"/>
    <x v="332"/>
    <x v="5"/>
    <x v="17"/>
    <x v="1"/>
    <x v="3"/>
    <x v="263"/>
    <x v="240"/>
    <x v="23"/>
    <x v="9"/>
    <x v="290"/>
  </r>
  <r>
    <n v="389"/>
    <x v="333"/>
    <x v="12"/>
    <x v="18"/>
    <x v="8"/>
    <x v="2"/>
    <x v="283"/>
    <x v="82"/>
    <x v="59"/>
    <x v="84"/>
    <x v="290"/>
  </r>
  <r>
    <n v="390"/>
    <x v="334"/>
    <x v="7"/>
    <x v="25"/>
    <x v="3"/>
    <x v="9"/>
    <x v="284"/>
    <x v="129"/>
    <x v="172"/>
    <x v="135"/>
    <x v="290"/>
  </r>
  <r>
    <n v="391"/>
    <x v="335"/>
    <x v="6"/>
    <x v="12"/>
    <x v="8"/>
    <x v="4"/>
    <x v="285"/>
    <x v="119"/>
    <x v="66"/>
    <x v="70"/>
    <x v="291"/>
  </r>
  <r>
    <n v="392"/>
    <x v="336"/>
    <x v="2"/>
    <x v="13"/>
    <x v="2"/>
    <x v="0"/>
    <x v="193"/>
    <x v="131"/>
    <x v="165"/>
    <x v="139"/>
    <x v="291"/>
  </r>
  <r>
    <n v="393"/>
    <x v="337"/>
    <x v="6"/>
    <x v="15"/>
    <x v="0"/>
    <x v="7"/>
    <x v="286"/>
    <x v="128"/>
    <x v="72"/>
    <x v="101"/>
    <x v="292"/>
  </r>
  <r>
    <n v="394"/>
    <x v="338"/>
    <x v="12"/>
    <x v="29"/>
    <x v="5"/>
    <x v="3"/>
    <x v="274"/>
    <x v="133"/>
    <x v="91"/>
    <x v="103"/>
    <x v="293"/>
  </r>
  <r>
    <n v="395"/>
    <x v="339"/>
    <x v="4"/>
    <x v="2"/>
    <x v="8"/>
    <x v="19"/>
    <x v="213"/>
    <x v="166"/>
    <x v="59"/>
    <x v="145"/>
    <x v="294"/>
  </r>
  <r>
    <n v="396"/>
    <x v="340"/>
    <x v="10"/>
    <x v="19"/>
    <x v="8"/>
    <x v="14"/>
    <x v="162"/>
    <x v="92"/>
    <x v="40"/>
    <x v="9"/>
    <x v="294"/>
  </r>
  <r>
    <n v="397"/>
    <x v="341"/>
    <x v="3"/>
    <x v="3"/>
    <x v="8"/>
    <x v="0"/>
    <x v="287"/>
    <x v="236"/>
    <x v="173"/>
    <x v="143"/>
    <x v="294"/>
  </r>
  <r>
    <n v="398"/>
    <x v="342"/>
    <x v="12"/>
    <x v="18"/>
    <x v="9"/>
    <x v="30"/>
    <x v="102"/>
    <x v="211"/>
    <x v="59"/>
    <x v="132"/>
    <x v="295"/>
  </r>
  <r>
    <n v="399"/>
    <x v="343"/>
    <x v="11"/>
    <x v="29"/>
    <x v="8"/>
    <x v="0"/>
    <x v="163"/>
    <x v="231"/>
    <x v="163"/>
    <x v="125"/>
    <x v="295"/>
  </r>
  <r>
    <n v="400"/>
    <x v="344"/>
    <x v="3"/>
    <x v="2"/>
    <x v="4"/>
    <x v="0"/>
    <x v="159"/>
    <x v="214"/>
    <x v="174"/>
    <x v="83"/>
    <x v="295"/>
  </r>
  <r>
    <n v="401"/>
    <x v="345"/>
    <x v="12"/>
    <x v="18"/>
    <x v="10"/>
    <x v="28"/>
    <x v="288"/>
    <x v="76"/>
    <x v="59"/>
    <x v="66"/>
    <x v="296"/>
  </r>
  <r>
    <n v="402"/>
    <x v="263"/>
    <x v="4"/>
    <x v="11"/>
    <x v="8"/>
    <x v="5"/>
    <x v="163"/>
    <x v="215"/>
    <x v="63"/>
    <x v="49"/>
    <x v="296"/>
  </r>
  <r>
    <n v="403"/>
    <x v="346"/>
    <x v="3"/>
    <x v="0"/>
    <x v="5"/>
    <x v="0"/>
    <x v="186"/>
    <x v="169"/>
    <x v="175"/>
    <x v="135"/>
    <x v="297"/>
  </r>
  <r>
    <n v="404"/>
    <x v="347"/>
    <x v="6"/>
    <x v="15"/>
    <x v="6"/>
    <x v="7"/>
    <x v="289"/>
    <x v="185"/>
    <x v="132"/>
    <x v="22"/>
    <x v="297"/>
  </r>
  <r>
    <n v="405"/>
    <x v="348"/>
    <x v="6"/>
    <x v="15"/>
    <x v="1"/>
    <x v="3"/>
    <x v="259"/>
    <x v="239"/>
    <x v="148"/>
    <x v="91"/>
    <x v="297"/>
  </r>
  <r>
    <n v="406"/>
    <x v="349"/>
    <x v="0"/>
    <x v="20"/>
    <x v="5"/>
    <x v="0"/>
    <x v="252"/>
    <x v="212"/>
    <x v="176"/>
    <x v="110"/>
    <x v="298"/>
  </r>
  <r>
    <n v="407"/>
    <x v="350"/>
    <x v="6"/>
    <x v="7"/>
    <x v="8"/>
    <x v="17"/>
    <x v="290"/>
    <x v="179"/>
    <x v="103"/>
    <x v="70"/>
    <x v="298"/>
  </r>
  <r>
    <n v="408"/>
    <x v="351"/>
    <x v="6"/>
    <x v="16"/>
    <x v="6"/>
    <x v="2"/>
    <x v="291"/>
    <x v="187"/>
    <x v="72"/>
    <x v="84"/>
    <x v="299"/>
  </r>
  <r>
    <n v="409"/>
    <x v="352"/>
    <x v="6"/>
    <x v="27"/>
    <x v="8"/>
    <x v="7"/>
    <x v="292"/>
    <x v="205"/>
    <x v="72"/>
    <x v="22"/>
    <x v="300"/>
  </r>
  <r>
    <n v="410"/>
    <x v="353"/>
    <x v="10"/>
    <x v="19"/>
    <x v="8"/>
    <x v="5"/>
    <x v="293"/>
    <x v="110"/>
    <x v="23"/>
    <x v="25"/>
    <x v="300"/>
  </r>
  <r>
    <n v="411"/>
    <x v="140"/>
    <x v="17"/>
    <x v="21"/>
    <x v="6"/>
    <x v="4"/>
    <x v="239"/>
    <x v="181"/>
    <x v="59"/>
    <x v="45"/>
    <x v="300"/>
  </r>
  <r>
    <n v="412"/>
    <x v="354"/>
    <x v="6"/>
    <x v="27"/>
    <x v="8"/>
    <x v="4"/>
    <x v="201"/>
    <x v="187"/>
    <x v="66"/>
    <x v="78"/>
    <x v="301"/>
  </r>
  <r>
    <n v="413"/>
    <x v="355"/>
    <x v="0"/>
    <x v="2"/>
    <x v="5"/>
    <x v="0"/>
    <x v="294"/>
    <x v="224"/>
    <x v="140"/>
    <x v="145"/>
    <x v="301"/>
  </r>
  <r>
    <n v="414"/>
    <x v="356"/>
    <x v="16"/>
    <x v="3"/>
    <x v="2"/>
    <x v="3"/>
    <x v="295"/>
    <x v="241"/>
    <x v="150"/>
    <x v="116"/>
    <x v="301"/>
  </r>
  <r>
    <n v="415"/>
    <x v="357"/>
    <x v="9"/>
    <x v="19"/>
    <x v="8"/>
    <x v="12"/>
    <x v="296"/>
    <x v="242"/>
    <x v="117"/>
    <x v="117"/>
    <x v="302"/>
  </r>
  <r>
    <n v="416"/>
    <x v="358"/>
    <x v="12"/>
    <x v="31"/>
    <x v="9"/>
    <x v="3"/>
    <x v="297"/>
    <x v="117"/>
    <x v="177"/>
    <x v="84"/>
    <x v="303"/>
  </r>
  <r>
    <n v="417"/>
    <x v="68"/>
    <x v="17"/>
    <x v="19"/>
    <x v="0"/>
    <x v="7"/>
    <x v="225"/>
    <x v="243"/>
    <x v="59"/>
    <x v="45"/>
    <x v="304"/>
  </r>
  <r>
    <n v="418"/>
    <x v="359"/>
    <x v="5"/>
    <x v="17"/>
    <x v="10"/>
    <x v="2"/>
    <x v="298"/>
    <x v="233"/>
    <x v="132"/>
    <x v="106"/>
    <x v="304"/>
  </r>
  <r>
    <n v="419"/>
    <x v="360"/>
    <x v="10"/>
    <x v="19"/>
    <x v="0"/>
    <x v="7"/>
    <x v="269"/>
    <x v="244"/>
    <x v="59"/>
    <x v="30"/>
    <x v="305"/>
  </r>
  <r>
    <n v="420"/>
    <x v="361"/>
    <x v="9"/>
    <x v="21"/>
    <x v="3"/>
    <x v="0"/>
    <x v="299"/>
    <x v="129"/>
    <x v="178"/>
    <x v="105"/>
    <x v="305"/>
  </r>
  <r>
    <n v="421"/>
    <x v="362"/>
    <x v="12"/>
    <x v="8"/>
    <x v="6"/>
    <x v="7"/>
    <x v="300"/>
    <x v="233"/>
    <x v="59"/>
    <x v="77"/>
    <x v="306"/>
  </r>
  <r>
    <n v="422"/>
    <x v="363"/>
    <x v="1"/>
    <x v="37"/>
    <x v="0"/>
    <x v="0"/>
    <x v="301"/>
    <x v="245"/>
    <x v="179"/>
    <x v="135"/>
    <x v="307"/>
  </r>
  <r>
    <n v="423"/>
    <x v="364"/>
    <x v="7"/>
    <x v="31"/>
    <x v="9"/>
    <x v="0"/>
    <x v="135"/>
    <x v="246"/>
    <x v="132"/>
    <x v="130"/>
    <x v="307"/>
  </r>
  <r>
    <n v="424"/>
    <x v="365"/>
    <x v="12"/>
    <x v="29"/>
    <x v="9"/>
    <x v="28"/>
    <x v="302"/>
    <x v="234"/>
    <x v="35"/>
    <x v="77"/>
    <x v="307"/>
  </r>
  <r>
    <n v="425"/>
    <x v="366"/>
    <x v="16"/>
    <x v="9"/>
    <x v="3"/>
    <x v="16"/>
    <x v="303"/>
    <x v="135"/>
    <x v="129"/>
    <x v="124"/>
    <x v="308"/>
  </r>
  <r>
    <n v="426"/>
    <x v="367"/>
    <x v="16"/>
    <x v="2"/>
    <x v="8"/>
    <x v="3"/>
    <x v="304"/>
    <x v="239"/>
    <x v="60"/>
    <x v="129"/>
    <x v="308"/>
  </r>
  <r>
    <n v="427"/>
    <x v="368"/>
    <x v="7"/>
    <x v="31"/>
    <x v="3"/>
    <x v="24"/>
    <x v="186"/>
    <x v="129"/>
    <x v="180"/>
    <x v="105"/>
    <x v="308"/>
  </r>
  <r>
    <n v="428"/>
    <x v="369"/>
    <x v="4"/>
    <x v="10"/>
    <x v="5"/>
    <x v="31"/>
    <x v="247"/>
    <x v="146"/>
    <x v="63"/>
    <x v="147"/>
    <x v="308"/>
  </r>
  <r>
    <n v="429"/>
    <x v="370"/>
    <x v="6"/>
    <x v="27"/>
    <x v="8"/>
    <x v="10"/>
    <x v="202"/>
    <x v="145"/>
    <x v="101"/>
    <x v="79"/>
    <x v="309"/>
  </r>
  <r>
    <n v="430"/>
    <x v="371"/>
    <x v="19"/>
    <x v="19"/>
    <x v="1"/>
    <x v="0"/>
    <x v="248"/>
    <x v="247"/>
    <x v="181"/>
    <x v="120"/>
    <x v="309"/>
  </r>
  <r>
    <n v="431"/>
    <x v="247"/>
    <x v="5"/>
    <x v="10"/>
    <x v="3"/>
    <x v="6"/>
    <x v="305"/>
    <x v="147"/>
    <x v="69"/>
    <x v="9"/>
    <x v="310"/>
  </r>
  <r>
    <n v="432"/>
    <x v="339"/>
    <x v="0"/>
    <x v="30"/>
    <x v="8"/>
    <x v="19"/>
    <x v="306"/>
    <x v="193"/>
    <x v="59"/>
    <x v="49"/>
    <x v="310"/>
  </r>
  <r>
    <n v="433"/>
    <x v="372"/>
    <x v="3"/>
    <x v="2"/>
    <x v="5"/>
    <x v="0"/>
    <x v="266"/>
    <x v="201"/>
    <x v="10"/>
    <x v="97"/>
    <x v="310"/>
  </r>
  <r>
    <n v="434"/>
    <x v="373"/>
    <x v="6"/>
    <x v="16"/>
    <x v="7"/>
    <x v="15"/>
    <x v="307"/>
    <x v="248"/>
    <x v="54"/>
    <x v="103"/>
    <x v="310"/>
  </r>
  <r>
    <n v="435"/>
    <x v="374"/>
    <x v="3"/>
    <x v="2"/>
    <x v="10"/>
    <x v="32"/>
    <x v="133"/>
    <x v="154"/>
    <x v="59"/>
    <x v="91"/>
    <x v="311"/>
  </r>
  <r>
    <n v="436"/>
    <x v="375"/>
    <x v="18"/>
    <x v="16"/>
    <x v="7"/>
    <x v="0"/>
    <x v="154"/>
    <x v="249"/>
    <x v="113"/>
    <x v="121"/>
    <x v="312"/>
  </r>
  <r>
    <n v="437"/>
    <x v="339"/>
    <x v="3"/>
    <x v="2"/>
    <x v="8"/>
    <x v="19"/>
    <x v="75"/>
    <x v="164"/>
    <x v="59"/>
    <x v="49"/>
    <x v="312"/>
  </r>
  <r>
    <n v="438"/>
    <x v="376"/>
    <x v="3"/>
    <x v="7"/>
    <x v="1"/>
    <x v="8"/>
    <x v="156"/>
    <x v="173"/>
    <x v="23"/>
    <x v="49"/>
    <x v="312"/>
  </r>
  <r>
    <n v="439"/>
    <x v="377"/>
    <x v="5"/>
    <x v="20"/>
    <x v="6"/>
    <x v="12"/>
    <x v="225"/>
    <x v="226"/>
    <x v="182"/>
    <x v="21"/>
    <x v="312"/>
  </r>
  <r>
    <n v="440"/>
    <x v="378"/>
    <x v="17"/>
    <x v="21"/>
    <x v="6"/>
    <x v="1"/>
    <x v="201"/>
    <x v="169"/>
    <x v="103"/>
    <x v="110"/>
    <x v="312"/>
  </r>
  <r>
    <n v="441"/>
    <x v="379"/>
    <x v="6"/>
    <x v="9"/>
    <x v="0"/>
    <x v="7"/>
    <x v="308"/>
    <x v="129"/>
    <x v="59"/>
    <x v="148"/>
    <x v="313"/>
  </r>
  <r>
    <n v="442"/>
    <x v="380"/>
    <x v="12"/>
    <x v="29"/>
    <x v="8"/>
    <x v="4"/>
    <x v="172"/>
    <x v="153"/>
    <x v="66"/>
    <x v="77"/>
    <x v="314"/>
  </r>
  <r>
    <n v="443"/>
    <x v="381"/>
    <x v="12"/>
    <x v="18"/>
    <x v="2"/>
    <x v="7"/>
    <x v="237"/>
    <x v="250"/>
    <x v="59"/>
    <x v="132"/>
    <x v="315"/>
  </r>
  <r>
    <n v="444"/>
    <x v="382"/>
    <x v="11"/>
    <x v="8"/>
    <x v="2"/>
    <x v="0"/>
    <x v="183"/>
    <x v="251"/>
    <x v="50"/>
    <x v="117"/>
    <x v="315"/>
  </r>
  <r>
    <n v="445"/>
    <x v="383"/>
    <x v="3"/>
    <x v="0"/>
    <x v="5"/>
    <x v="0"/>
    <x v="309"/>
    <x v="252"/>
    <x v="95"/>
    <x v="103"/>
    <x v="315"/>
  </r>
  <r>
    <n v="446"/>
    <x v="214"/>
    <x v="5"/>
    <x v="9"/>
    <x v="3"/>
    <x v="5"/>
    <x v="310"/>
    <x v="247"/>
    <x v="50"/>
    <x v="21"/>
    <x v="315"/>
  </r>
  <r>
    <n v="447"/>
    <x v="384"/>
    <x v="1"/>
    <x v="13"/>
    <x v="3"/>
    <x v="24"/>
    <x v="311"/>
    <x v="129"/>
    <x v="183"/>
    <x v="149"/>
    <x v="315"/>
  </r>
  <r>
    <n v="448"/>
    <x v="385"/>
    <x v="5"/>
    <x v="10"/>
    <x v="10"/>
    <x v="3"/>
    <x v="312"/>
    <x v="191"/>
    <x v="23"/>
    <x v="25"/>
    <x v="315"/>
  </r>
  <r>
    <n v="449"/>
    <x v="386"/>
    <x v="4"/>
    <x v="10"/>
    <x v="3"/>
    <x v="7"/>
    <x v="291"/>
    <x v="253"/>
    <x v="103"/>
    <x v="143"/>
    <x v="316"/>
  </r>
  <r>
    <n v="450"/>
    <x v="112"/>
    <x v="4"/>
    <x v="21"/>
    <x v="0"/>
    <x v="7"/>
    <x v="105"/>
    <x v="157"/>
    <x v="59"/>
    <x v="91"/>
    <x v="316"/>
  </r>
  <r>
    <n v="451"/>
    <x v="387"/>
    <x v="6"/>
    <x v="15"/>
    <x v="9"/>
    <x v="10"/>
    <x v="313"/>
    <x v="208"/>
    <x v="167"/>
    <x v="69"/>
    <x v="317"/>
  </r>
  <r>
    <n v="452"/>
    <x v="388"/>
    <x v="6"/>
    <x v="16"/>
    <x v="0"/>
    <x v="7"/>
    <x v="314"/>
    <x v="249"/>
    <x v="63"/>
    <x v="21"/>
    <x v="318"/>
  </r>
  <r>
    <n v="453"/>
    <x v="389"/>
    <x v="1"/>
    <x v="28"/>
    <x v="0"/>
    <x v="25"/>
    <x v="154"/>
    <x v="85"/>
    <x v="156"/>
    <x v="99"/>
    <x v="318"/>
  </r>
  <r>
    <n v="454"/>
    <x v="390"/>
    <x v="4"/>
    <x v="20"/>
    <x v="6"/>
    <x v="2"/>
    <x v="201"/>
    <x v="177"/>
    <x v="60"/>
    <x v="110"/>
    <x v="319"/>
  </r>
  <r>
    <n v="455"/>
    <x v="391"/>
    <x v="9"/>
    <x v="11"/>
    <x v="8"/>
    <x v="0"/>
    <x v="233"/>
    <x v="169"/>
    <x v="140"/>
    <x v="84"/>
    <x v="319"/>
  </r>
  <r>
    <n v="456"/>
    <x v="392"/>
    <x v="2"/>
    <x v="25"/>
    <x v="1"/>
    <x v="0"/>
    <x v="273"/>
    <x v="251"/>
    <x v="167"/>
    <x v="119"/>
    <x v="319"/>
  </r>
  <r>
    <n v="457"/>
    <x v="393"/>
    <x v="14"/>
    <x v="15"/>
    <x v="7"/>
    <x v="7"/>
    <x v="300"/>
    <x v="234"/>
    <x v="59"/>
    <x v="97"/>
    <x v="319"/>
  </r>
  <r>
    <n v="458"/>
    <x v="394"/>
    <x v="4"/>
    <x v="20"/>
    <x v="3"/>
    <x v="7"/>
    <x v="196"/>
    <x v="250"/>
    <x v="103"/>
    <x v="110"/>
    <x v="319"/>
  </r>
  <r>
    <n v="459"/>
    <x v="395"/>
    <x v="4"/>
    <x v="2"/>
    <x v="8"/>
    <x v="4"/>
    <x v="189"/>
    <x v="254"/>
    <x v="59"/>
    <x v="49"/>
    <x v="320"/>
  </r>
  <r>
    <n v="460"/>
    <x v="328"/>
    <x v="4"/>
    <x v="20"/>
    <x v="6"/>
    <x v="5"/>
    <x v="246"/>
    <x v="92"/>
    <x v="66"/>
    <x v="83"/>
    <x v="321"/>
  </r>
  <r>
    <n v="461"/>
    <x v="396"/>
    <x v="0"/>
    <x v="10"/>
    <x v="1"/>
    <x v="32"/>
    <x v="307"/>
    <x v="255"/>
    <x v="132"/>
    <x v="84"/>
    <x v="321"/>
  </r>
  <r>
    <n v="462"/>
    <x v="397"/>
    <x v="4"/>
    <x v="2"/>
    <x v="8"/>
    <x v="28"/>
    <x v="196"/>
    <x v="256"/>
    <x v="66"/>
    <x v="143"/>
    <x v="322"/>
  </r>
  <r>
    <n v="463"/>
    <x v="398"/>
    <x v="12"/>
    <x v="31"/>
    <x v="1"/>
    <x v="5"/>
    <x v="209"/>
    <x v="233"/>
    <x v="59"/>
    <x v="77"/>
    <x v="322"/>
  </r>
  <r>
    <n v="464"/>
    <x v="399"/>
    <x v="5"/>
    <x v="3"/>
    <x v="6"/>
    <x v="3"/>
    <x v="233"/>
    <x v="240"/>
    <x v="36"/>
    <x v="9"/>
    <x v="323"/>
  </r>
  <r>
    <n v="465"/>
    <x v="400"/>
    <x v="13"/>
    <x v="15"/>
    <x v="8"/>
    <x v="5"/>
    <x v="182"/>
    <x v="101"/>
    <x v="59"/>
    <x v="132"/>
    <x v="323"/>
  </r>
  <r>
    <n v="466"/>
    <x v="401"/>
    <x v="1"/>
    <x v="35"/>
    <x v="9"/>
    <x v="0"/>
    <x v="213"/>
    <x v="257"/>
    <x v="184"/>
    <x v="99"/>
    <x v="323"/>
  </r>
  <r>
    <n v="467"/>
    <x v="402"/>
    <x v="6"/>
    <x v="15"/>
    <x v="0"/>
    <x v="28"/>
    <x v="289"/>
    <x v="224"/>
    <x v="35"/>
    <x v="126"/>
    <x v="323"/>
  </r>
  <r>
    <n v="468"/>
    <x v="403"/>
    <x v="17"/>
    <x v="19"/>
    <x v="6"/>
    <x v="1"/>
    <x v="272"/>
    <x v="258"/>
    <x v="59"/>
    <x v="78"/>
    <x v="324"/>
  </r>
  <r>
    <n v="469"/>
    <x v="404"/>
    <x v="4"/>
    <x v="20"/>
    <x v="0"/>
    <x v="2"/>
    <x v="200"/>
    <x v="200"/>
    <x v="63"/>
    <x v="79"/>
    <x v="324"/>
  </r>
  <r>
    <n v="470"/>
    <x v="405"/>
    <x v="6"/>
    <x v="9"/>
    <x v="9"/>
    <x v="10"/>
    <x v="252"/>
    <x v="129"/>
    <x v="176"/>
    <x v="88"/>
    <x v="324"/>
  </r>
  <r>
    <n v="471"/>
    <x v="406"/>
    <x v="6"/>
    <x v="30"/>
    <x v="9"/>
    <x v="33"/>
    <x v="273"/>
    <x v="193"/>
    <x v="59"/>
    <x v="63"/>
    <x v="324"/>
  </r>
  <r>
    <n v="472"/>
    <x v="407"/>
    <x v="10"/>
    <x v="21"/>
    <x v="8"/>
    <x v="19"/>
    <x v="315"/>
    <x v="176"/>
    <x v="72"/>
    <x v="113"/>
    <x v="325"/>
  </r>
  <r>
    <n v="473"/>
    <x v="408"/>
    <x v="7"/>
    <x v="24"/>
    <x v="6"/>
    <x v="0"/>
    <x v="271"/>
    <x v="201"/>
    <x v="129"/>
    <x v="99"/>
    <x v="325"/>
  </r>
  <r>
    <n v="474"/>
    <x v="409"/>
    <x v="14"/>
    <x v="29"/>
    <x v="5"/>
    <x v="7"/>
    <x v="113"/>
    <x v="91"/>
    <x v="59"/>
    <x v="132"/>
    <x v="325"/>
  </r>
  <r>
    <n v="475"/>
    <x v="410"/>
    <x v="6"/>
    <x v="15"/>
    <x v="0"/>
    <x v="14"/>
    <x v="242"/>
    <x v="122"/>
    <x v="185"/>
    <x v="114"/>
    <x v="325"/>
  </r>
  <r>
    <n v="476"/>
    <x v="411"/>
    <x v="6"/>
    <x v="16"/>
    <x v="8"/>
    <x v="12"/>
    <x v="294"/>
    <x v="250"/>
    <x v="156"/>
    <x v="132"/>
    <x v="325"/>
  </r>
  <r>
    <n v="477"/>
    <x v="412"/>
    <x v="9"/>
    <x v="19"/>
    <x v="7"/>
    <x v="0"/>
    <x v="143"/>
    <x v="252"/>
    <x v="87"/>
    <x v="104"/>
    <x v="326"/>
  </r>
  <r>
    <n v="478"/>
    <x v="326"/>
    <x v="5"/>
    <x v="10"/>
    <x v="6"/>
    <x v="7"/>
    <x v="249"/>
    <x v="145"/>
    <x v="36"/>
    <x v="114"/>
    <x v="327"/>
  </r>
  <r>
    <n v="479"/>
    <x v="413"/>
    <x v="14"/>
    <x v="21"/>
    <x v="7"/>
    <x v="7"/>
    <x v="165"/>
    <x v="83"/>
    <x v="59"/>
    <x v="49"/>
    <x v="327"/>
  </r>
  <r>
    <n v="480"/>
    <x v="414"/>
    <x v="14"/>
    <x v="17"/>
    <x v="3"/>
    <x v="7"/>
    <x v="316"/>
    <x v="239"/>
    <x v="59"/>
    <x v="126"/>
    <x v="327"/>
  </r>
  <r>
    <n v="481"/>
    <x v="415"/>
    <x v="6"/>
    <x v="27"/>
    <x v="1"/>
    <x v="8"/>
    <x v="317"/>
    <x v="219"/>
    <x v="23"/>
    <x v="85"/>
    <x v="328"/>
  </r>
  <r>
    <n v="482"/>
    <x v="416"/>
    <x v="3"/>
    <x v="2"/>
    <x v="1"/>
    <x v="0"/>
    <x v="273"/>
    <x v="204"/>
    <x v="186"/>
    <x v="58"/>
    <x v="328"/>
  </r>
  <r>
    <n v="483"/>
    <x v="417"/>
    <x v="6"/>
    <x v="15"/>
    <x v="8"/>
    <x v="21"/>
    <x v="294"/>
    <x v="180"/>
    <x v="60"/>
    <x v="63"/>
    <x v="328"/>
  </r>
  <r>
    <n v="484"/>
    <x v="234"/>
    <x v="4"/>
    <x v="3"/>
    <x v="9"/>
    <x v="12"/>
    <x v="263"/>
    <x v="259"/>
    <x v="127"/>
    <x v="147"/>
    <x v="329"/>
  </r>
  <r>
    <n v="485"/>
    <x v="418"/>
    <x v="11"/>
    <x v="4"/>
    <x v="2"/>
    <x v="0"/>
    <x v="167"/>
    <x v="190"/>
    <x v="187"/>
    <x v="117"/>
    <x v="330"/>
  </r>
  <r>
    <n v="486"/>
    <x v="419"/>
    <x v="6"/>
    <x v="27"/>
    <x v="6"/>
    <x v="3"/>
    <x v="318"/>
    <x v="201"/>
    <x v="23"/>
    <x v="58"/>
    <x v="330"/>
  </r>
  <r>
    <n v="487"/>
    <x v="420"/>
    <x v="6"/>
    <x v="7"/>
    <x v="9"/>
    <x v="28"/>
    <x v="289"/>
    <x v="140"/>
    <x v="60"/>
    <x v="73"/>
    <x v="330"/>
  </r>
  <r>
    <n v="488"/>
    <x v="421"/>
    <x v="5"/>
    <x v="3"/>
    <x v="8"/>
    <x v="3"/>
    <x v="302"/>
    <x v="131"/>
    <x v="132"/>
    <x v="128"/>
    <x v="330"/>
  </r>
  <r>
    <n v="489"/>
    <x v="422"/>
    <x v="8"/>
    <x v="16"/>
    <x v="4"/>
    <x v="10"/>
    <x v="148"/>
    <x v="146"/>
    <x v="72"/>
    <x v="134"/>
    <x v="330"/>
  </r>
  <r>
    <n v="490"/>
    <x v="423"/>
    <x v="4"/>
    <x v="9"/>
    <x v="3"/>
    <x v="1"/>
    <x v="319"/>
    <x v="256"/>
    <x v="103"/>
    <x v="143"/>
    <x v="331"/>
  </r>
  <r>
    <n v="491"/>
    <x v="424"/>
    <x v="0"/>
    <x v="0"/>
    <x v="4"/>
    <x v="0"/>
    <x v="257"/>
    <x v="164"/>
    <x v="163"/>
    <x v="147"/>
    <x v="332"/>
  </r>
  <r>
    <n v="492"/>
    <x v="425"/>
    <x v="0"/>
    <x v="9"/>
    <x v="7"/>
    <x v="11"/>
    <x v="287"/>
    <x v="224"/>
    <x v="72"/>
    <x v="91"/>
    <x v="333"/>
  </r>
  <r>
    <n v="493"/>
    <x v="241"/>
    <x v="8"/>
    <x v="15"/>
    <x v="1"/>
    <x v="0"/>
    <x v="285"/>
    <x v="85"/>
    <x v="146"/>
    <x v="121"/>
    <x v="333"/>
  </r>
  <r>
    <n v="494"/>
    <x v="101"/>
    <x v="10"/>
    <x v="11"/>
    <x v="0"/>
    <x v="7"/>
    <x v="320"/>
    <x v="260"/>
    <x v="31"/>
    <x v="73"/>
    <x v="334"/>
  </r>
  <r>
    <n v="495"/>
    <x v="426"/>
    <x v="17"/>
    <x v="21"/>
    <x v="6"/>
    <x v="7"/>
    <x v="321"/>
    <x v="256"/>
    <x v="60"/>
    <x v="84"/>
    <x v="334"/>
  </r>
  <r>
    <n v="496"/>
    <x v="427"/>
    <x v="6"/>
    <x v="12"/>
    <x v="5"/>
    <x v="8"/>
    <x v="209"/>
    <x v="215"/>
    <x v="59"/>
    <x v="84"/>
    <x v="334"/>
  </r>
  <r>
    <n v="497"/>
    <x v="428"/>
    <x v="4"/>
    <x v="2"/>
    <x v="0"/>
    <x v="8"/>
    <x v="285"/>
    <x v="250"/>
    <x v="59"/>
    <x v="83"/>
    <x v="334"/>
  </r>
  <r>
    <n v="498"/>
    <x v="429"/>
    <x v="6"/>
    <x v="27"/>
    <x v="0"/>
    <x v="14"/>
    <x v="311"/>
    <x v="73"/>
    <x v="188"/>
    <x v="114"/>
    <x v="334"/>
  </r>
  <r>
    <n v="499"/>
    <x v="216"/>
    <x v="5"/>
    <x v="20"/>
    <x v="2"/>
    <x v="7"/>
    <x v="236"/>
    <x v="183"/>
    <x v="23"/>
    <x v="101"/>
    <x v="335"/>
  </r>
  <r>
    <n v="500"/>
    <x v="430"/>
    <x v="6"/>
    <x v="16"/>
    <x v="0"/>
    <x v="3"/>
    <x v="322"/>
    <x v="258"/>
    <x v="144"/>
    <x v="120"/>
    <x v="335"/>
  </r>
  <r>
    <n v="501"/>
    <x v="431"/>
    <x v="6"/>
    <x v="12"/>
    <x v="6"/>
    <x v="4"/>
    <x v="323"/>
    <x v="145"/>
    <x v="63"/>
    <x v="110"/>
    <x v="335"/>
  </r>
  <r>
    <n v="502"/>
    <x v="432"/>
    <x v="0"/>
    <x v="17"/>
    <x v="0"/>
    <x v="34"/>
    <x v="209"/>
    <x v="240"/>
    <x v="59"/>
    <x v="83"/>
    <x v="336"/>
  </r>
  <r>
    <n v="503"/>
    <x v="433"/>
    <x v="12"/>
    <x v="8"/>
    <x v="6"/>
    <x v="3"/>
    <x v="213"/>
    <x v="246"/>
    <x v="66"/>
    <x v="115"/>
    <x v="336"/>
  </r>
  <r>
    <n v="504"/>
    <x v="434"/>
    <x v="3"/>
    <x v="9"/>
    <x v="7"/>
    <x v="5"/>
    <x v="226"/>
    <x v="191"/>
    <x v="59"/>
    <x v="78"/>
    <x v="336"/>
  </r>
  <r>
    <n v="505"/>
    <x v="435"/>
    <x v="12"/>
    <x v="18"/>
    <x v="2"/>
    <x v="35"/>
    <x v="324"/>
    <x v="261"/>
    <x v="132"/>
    <x v="84"/>
    <x v="337"/>
  </r>
  <r>
    <n v="506"/>
    <x v="53"/>
    <x v="17"/>
    <x v="11"/>
    <x v="6"/>
    <x v="4"/>
    <x v="195"/>
    <x v="146"/>
    <x v="59"/>
    <x v="84"/>
    <x v="338"/>
  </r>
  <r>
    <n v="507"/>
    <x v="436"/>
    <x v="4"/>
    <x v="20"/>
    <x v="0"/>
    <x v="7"/>
    <x v="268"/>
    <x v="249"/>
    <x v="59"/>
    <x v="103"/>
    <x v="338"/>
  </r>
  <r>
    <n v="508"/>
    <x v="437"/>
    <x v="13"/>
    <x v="15"/>
    <x v="3"/>
    <x v="5"/>
    <x v="280"/>
    <x v="9"/>
    <x v="103"/>
    <x v="115"/>
    <x v="338"/>
  </r>
  <r>
    <n v="509"/>
    <x v="438"/>
    <x v="5"/>
    <x v="17"/>
    <x v="9"/>
    <x v="19"/>
    <x v="167"/>
    <x v="262"/>
    <x v="59"/>
    <x v="145"/>
    <x v="339"/>
  </r>
  <r>
    <n v="510"/>
    <x v="439"/>
    <x v="7"/>
    <x v="13"/>
    <x v="2"/>
    <x v="0"/>
    <x v="264"/>
    <x v="201"/>
    <x v="133"/>
    <x v="99"/>
    <x v="339"/>
  </r>
  <r>
    <n v="511"/>
    <x v="440"/>
    <x v="11"/>
    <x v="23"/>
    <x v="1"/>
    <x v="0"/>
    <x v="312"/>
    <x v="263"/>
    <x v="78"/>
    <x v="134"/>
    <x v="339"/>
  </r>
  <r>
    <n v="512"/>
    <x v="441"/>
    <x v="14"/>
    <x v="4"/>
    <x v="11"/>
    <x v="18"/>
    <x v="264"/>
    <x v="192"/>
    <x v="59"/>
    <x v="97"/>
    <x v="339"/>
  </r>
  <r>
    <n v="513"/>
    <x v="442"/>
    <x v="0"/>
    <x v="17"/>
    <x v="8"/>
    <x v="4"/>
    <x v="233"/>
    <x v="215"/>
    <x v="59"/>
    <x v="78"/>
    <x v="339"/>
  </r>
  <r>
    <n v="514"/>
    <x v="68"/>
    <x v="5"/>
    <x v="19"/>
    <x v="0"/>
    <x v="7"/>
    <x v="325"/>
    <x v="61"/>
    <x v="72"/>
    <x v="21"/>
    <x v="339"/>
  </r>
  <r>
    <n v="515"/>
    <x v="322"/>
    <x v="5"/>
    <x v="10"/>
    <x v="8"/>
    <x v="5"/>
    <x v="195"/>
    <x v="138"/>
    <x v="31"/>
    <x v="91"/>
    <x v="340"/>
  </r>
  <r>
    <n v="516"/>
    <x v="443"/>
    <x v="4"/>
    <x v="9"/>
    <x v="6"/>
    <x v="2"/>
    <x v="235"/>
    <x v="250"/>
    <x v="72"/>
    <x v="83"/>
    <x v="341"/>
  </r>
  <r>
    <n v="517"/>
    <x v="444"/>
    <x v="4"/>
    <x v="3"/>
    <x v="0"/>
    <x v="7"/>
    <x v="326"/>
    <x v="264"/>
    <x v="59"/>
    <x v="84"/>
    <x v="341"/>
  </r>
  <r>
    <n v="518"/>
    <x v="445"/>
    <x v="5"/>
    <x v="10"/>
    <x v="6"/>
    <x v="7"/>
    <x v="227"/>
    <x v="187"/>
    <x v="35"/>
    <x v="70"/>
    <x v="341"/>
  </r>
  <r>
    <n v="519"/>
    <x v="446"/>
    <x v="6"/>
    <x v="15"/>
    <x v="9"/>
    <x v="28"/>
    <x v="327"/>
    <x v="147"/>
    <x v="60"/>
    <x v="137"/>
    <x v="341"/>
  </r>
  <r>
    <n v="520"/>
    <x v="447"/>
    <x v="18"/>
    <x v="15"/>
    <x v="6"/>
    <x v="0"/>
    <x v="170"/>
    <x v="231"/>
    <x v="69"/>
    <x v="121"/>
    <x v="342"/>
  </r>
  <r>
    <n v="521"/>
    <x v="448"/>
    <x v="8"/>
    <x v="27"/>
    <x v="8"/>
    <x v="28"/>
    <x v="267"/>
    <x v="187"/>
    <x v="60"/>
    <x v="97"/>
    <x v="342"/>
  </r>
  <r>
    <n v="522"/>
    <x v="449"/>
    <x v="14"/>
    <x v="25"/>
    <x v="10"/>
    <x v="36"/>
    <x v="328"/>
    <x v="196"/>
    <x v="59"/>
    <x v="105"/>
    <x v="343"/>
  </r>
  <r>
    <n v="523"/>
    <x v="450"/>
    <x v="5"/>
    <x v="10"/>
    <x v="2"/>
    <x v="7"/>
    <x v="329"/>
    <x v="153"/>
    <x v="103"/>
    <x v="133"/>
    <x v="343"/>
  </r>
  <r>
    <n v="524"/>
    <x v="451"/>
    <x v="3"/>
    <x v="9"/>
    <x v="7"/>
    <x v="5"/>
    <x v="327"/>
    <x v="265"/>
    <x v="59"/>
    <x v="91"/>
    <x v="343"/>
  </r>
  <r>
    <n v="525"/>
    <x v="452"/>
    <x v="6"/>
    <x v="27"/>
    <x v="9"/>
    <x v="28"/>
    <x v="327"/>
    <x v="164"/>
    <x v="60"/>
    <x v="126"/>
    <x v="344"/>
  </r>
  <r>
    <n v="526"/>
    <x v="453"/>
    <x v="4"/>
    <x v="2"/>
    <x v="8"/>
    <x v="17"/>
    <x v="150"/>
    <x v="256"/>
    <x v="59"/>
    <x v="147"/>
    <x v="344"/>
  </r>
  <r>
    <n v="527"/>
    <x v="454"/>
    <x v="3"/>
    <x v="0"/>
    <x v="1"/>
    <x v="0"/>
    <x v="290"/>
    <x v="266"/>
    <x v="46"/>
    <x v="58"/>
    <x v="344"/>
  </r>
  <r>
    <n v="528"/>
    <x v="455"/>
    <x v="12"/>
    <x v="23"/>
    <x v="0"/>
    <x v="3"/>
    <x v="330"/>
    <x v="267"/>
    <x v="52"/>
    <x v="66"/>
    <x v="345"/>
  </r>
  <r>
    <n v="529"/>
    <x v="456"/>
    <x v="5"/>
    <x v="17"/>
    <x v="6"/>
    <x v="3"/>
    <x v="289"/>
    <x v="221"/>
    <x v="101"/>
    <x v="126"/>
    <x v="345"/>
  </r>
  <r>
    <n v="530"/>
    <x v="457"/>
    <x v="12"/>
    <x v="18"/>
    <x v="1"/>
    <x v="3"/>
    <x v="170"/>
    <x v="246"/>
    <x v="59"/>
    <x v="115"/>
    <x v="345"/>
  </r>
  <r>
    <n v="531"/>
    <x v="458"/>
    <x v="6"/>
    <x v="16"/>
    <x v="9"/>
    <x v="28"/>
    <x v="331"/>
    <x v="180"/>
    <x v="60"/>
    <x v="63"/>
    <x v="345"/>
  </r>
  <r>
    <n v="532"/>
    <x v="459"/>
    <x v="7"/>
    <x v="22"/>
    <x v="3"/>
    <x v="24"/>
    <x v="186"/>
    <x v="129"/>
    <x v="117"/>
    <x v="149"/>
    <x v="345"/>
  </r>
  <r>
    <n v="533"/>
    <x v="460"/>
    <x v="12"/>
    <x v="4"/>
    <x v="9"/>
    <x v="13"/>
    <x v="167"/>
    <x v="268"/>
    <x v="59"/>
    <x v="115"/>
    <x v="345"/>
  </r>
  <r>
    <n v="534"/>
    <x v="90"/>
    <x v="14"/>
    <x v="17"/>
    <x v="6"/>
    <x v="7"/>
    <x v="332"/>
    <x v="161"/>
    <x v="59"/>
    <x v="133"/>
    <x v="345"/>
  </r>
  <r>
    <n v="535"/>
    <x v="461"/>
    <x v="6"/>
    <x v="16"/>
    <x v="0"/>
    <x v="7"/>
    <x v="212"/>
    <x v="269"/>
    <x v="59"/>
    <x v="126"/>
    <x v="345"/>
  </r>
  <r>
    <n v="536"/>
    <x v="462"/>
    <x v="3"/>
    <x v="3"/>
    <x v="4"/>
    <x v="0"/>
    <x v="333"/>
    <x v="133"/>
    <x v="189"/>
    <x v="119"/>
    <x v="345"/>
  </r>
  <r>
    <n v="537"/>
    <x v="463"/>
    <x v="9"/>
    <x v="17"/>
    <x v="3"/>
    <x v="0"/>
    <x v="286"/>
    <x v="270"/>
    <x v="190"/>
    <x v="99"/>
    <x v="345"/>
  </r>
  <r>
    <n v="538"/>
    <x v="464"/>
    <x v="6"/>
    <x v="27"/>
    <x v="1"/>
    <x v="3"/>
    <x v="243"/>
    <x v="156"/>
    <x v="59"/>
    <x v="144"/>
    <x v="346"/>
  </r>
  <r>
    <n v="539"/>
    <x v="465"/>
    <x v="10"/>
    <x v="21"/>
    <x v="8"/>
    <x v="3"/>
    <x v="298"/>
    <x v="226"/>
    <x v="35"/>
    <x v="9"/>
    <x v="346"/>
  </r>
  <r>
    <n v="540"/>
    <x v="466"/>
    <x v="6"/>
    <x v="27"/>
    <x v="1"/>
    <x v="3"/>
    <x v="259"/>
    <x v="123"/>
    <x v="143"/>
    <x v="131"/>
    <x v="346"/>
  </r>
  <r>
    <n v="541"/>
    <x v="467"/>
    <x v="5"/>
    <x v="3"/>
    <x v="9"/>
    <x v="25"/>
    <x v="334"/>
    <x v="154"/>
    <x v="90"/>
    <x v="70"/>
    <x v="346"/>
  </r>
  <r>
    <n v="542"/>
    <x v="468"/>
    <x v="6"/>
    <x v="27"/>
    <x v="7"/>
    <x v="7"/>
    <x v="222"/>
    <x v="145"/>
    <x v="59"/>
    <x v="110"/>
    <x v="347"/>
  </r>
  <r>
    <n v="543"/>
    <x v="469"/>
    <x v="0"/>
    <x v="9"/>
    <x v="1"/>
    <x v="8"/>
    <x v="335"/>
    <x v="119"/>
    <x v="60"/>
    <x v="91"/>
    <x v="347"/>
  </r>
  <r>
    <n v="544"/>
    <x v="470"/>
    <x v="4"/>
    <x v="17"/>
    <x v="8"/>
    <x v="28"/>
    <x v="336"/>
    <x v="180"/>
    <x v="35"/>
    <x v="91"/>
    <x v="347"/>
  </r>
  <r>
    <n v="545"/>
    <x v="471"/>
    <x v="15"/>
    <x v="36"/>
    <x v="6"/>
    <x v="10"/>
    <x v="188"/>
    <x v="271"/>
    <x v="59"/>
    <x v="150"/>
    <x v="348"/>
  </r>
  <r>
    <n v="546"/>
    <x v="472"/>
    <x v="7"/>
    <x v="22"/>
    <x v="5"/>
    <x v="0"/>
    <x v="287"/>
    <x v="272"/>
    <x v="191"/>
    <x v="99"/>
    <x v="349"/>
  </r>
  <r>
    <n v="547"/>
    <x v="263"/>
    <x v="10"/>
    <x v="11"/>
    <x v="8"/>
    <x v="5"/>
    <x v="337"/>
    <x v="174"/>
    <x v="23"/>
    <x v="78"/>
    <x v="350"/>
  </r>
  <r>
    <n v="548"/>
    <x v="473"/>
    <x v="11"/>
    <x v="29"/>
    <x v="11"/>
    <x v="0"/>
    <x v="338"/>
    <x v="273"/>
    <x v="188"/>
    <x v="45"/>
    <x v="351"/>
  </r>
  <r>
    <n v="549"/>
    <x v="474"/>
    <x v="1"/>
    <x v="28"/>
    <x v="8"/>
    <x v="0"/>
    <x v="249"/>
    <x v="274"/>
    <x v="192"/>
    <x v="134"/>
    <x v="351"/>
  </r>
  <r>
    <n v="550"/>
    <x v="359"/>
    <x v="4"/>
    <x v="17"/>
    <x v="10"/>
    <x v="2"/>
    <x v="305"/>
    <x v="236"/>
    <x v="66"/>
    <x v="110"/>
    <x v="352"/>
  </r>
  <r>
    <n v="551"/>
    <x v="475"/>
    <x v="4"/>
    <x v="0"/>
    <x v="6"/>
    <x v="4"/>
    <x v="260"/>
    <x v="115"/>
    <x v="66"/>
    <x v="143"/>
    <x v="353"/>
  </r>
  <r>
    <n v="552"/>
    <x v="198"/>
    <x v="8"/>
    <x v="15"/>
    <x v="8"/>
    <x v="0"/>
    <x v="285"/>
    <x v="275"/>
    <x v="171"/>
    <x v="130"/>
    <x v="354"/>
  </r>
  <r>
    <n v="553"/>
    <x v="476"/>
    <x v="6"/>
    <x v="16"/>
    <x v="8"/>
    <x v="18"/>
    <x v="322"/>
    <x v="198"/>
    <x v="119"/>
    <x v="97"/>
    <x v="354"/>
  </r>
  <r>
    <n v="554"/>
    <x v="477"/>
    <x v="10"/>
    <x v="19"/>
    <x v="9"/>
    <x v="19"/>
    <x v="290"/>
    <x v="211"/>
    <x v="59"/>
    <x v="9"/>
    <x v="354"/>
  </r>
  <r>
    <n v="555"/>
    <x v="478"/>
    <x v="11"/>
    <x v="18"/>
    <x v="5"/>
    <x v="0"/>
    <x v="336"/>
    <x v="263"/>
    <x v="89"/>
    <x v="134"/>
    <x v="354"/>
  </r>
  <r>
    <n v="556"/>
    <x v="479"/>
    <x v="4"/>
    <x v="17"/>
    <x v="0"/>
    <x v="7"/>
    <x v="199"/>
    <x v="276"/>
    <x v="59"/>
    <x v="77"/>
    <x v="355"/>
  </r>
  <r>
    <n v="557"/>
    <x v="480"/>
    <x v="6"/>
    <x v="0"/>
    <x v="8"/>
    <x v="17"/>
    <x v="182"/>
    <x v="255"/>
    <x v="63"/>
    <x v="79"/>
    <x v="355"/>
  </r>
  <r>
    <n v="558"/>
    <x v="481"/>
    <x v="4"/>
    <x v="10"/>
    <x v="0"/>
    <x v="7"/>
    <x v="272"/>
    <x v="277"/>
    <x v="59"/>
    <x v="66"/>
    <x v="355"/>
  </r>
  <r>
    <n v="559"/>
    <x v="482"/>
    <x v="3"/>
    <x v="10"/>
    <x v="4"/>
    <x v="0"/>
    <x v="288"/>
    <x v="275"/>
    <x v="33"/>
    <x v="66"/>
    <x v="355"/>
  </r>
  <r>
    <n v="560"/>
    <x v="483"/>
    <x v="4"/>
    <x v="10"/>
    <x v="0"/>
    <x v="7"/>
    <x v="224"/>
    <x v="154"/>
    <x v="59"/>
    <x v="110"/>
    <x v="356"/>
  </r>
  <r>
    <n v="561"/>
    <x v="484"/>
    <x v="6"/>
    <x v="12"/>
    <x v="2"/>
    <x v="7"/>
    <x v="275"/>
    <x v="140"/>
    <x v="59"/>
    <x v="119"/>
    <x v="356"/>
  </r>
  <r>
    <n v="562"/>
    <x v="485"/>
    <x v="9"/>
    <x v="21"/>
    <x v="3"/>
    <x v="37"/>
    <x v="186"/>
    <x v="129"/>
    <x v="193"/>
    <x v="105"/>
    <x v="356"/>
  </r>
  <r>
    <n v="563"/>
    <x v="486"/>
    <x v="5"/>
    <x v="3"/>
    <x v="2"/>
    <x v="7"/>
    <x v="339"/>
    <x v="176"/>
    <x v="60"/>
    <x v="113"/>
    <x v="356"/>
  </r>
  <r>
    <n v="564"/>
    <x v="487"/>
    <x v="5"/>
    <x v="17"/>
    <x v="3"/>
    <x v="16"/>
    <x v="105"/>
    <x v="152"/>
    <x v="133"/>
    <x v="147"/>
    <x v="356"/>
  </r>
  <r>
    <n v="565"/>
    <x v="438"/>
    <x v="20"/>
    <x v="22"/>
    <x v="9"/>
    <x v="38"/>
    <x v="340"/>
    <x v="9"/>
    <x v="59"/>
    <x v="121"/>
    <x v="357"/>
  </r>
  <r>
    <n v="566"/>
    <x v="488"/>
    <x v="6"/>
    <x v="7"/>
    <x v="6"/>
    <x v="4"/>
    <x v="304"/>
    <x v="181"/>
    <x v="63"/>
    <x v="147"/>
    <x v="357"/>
  </r>
  <r>
    <n v="567"/>
    <x v="298"/>
    <x v="4"/>
    <x v="2"/>
    <x v="5"/>
    <x v="4"/>
    <x v="202"/>
    <x v="255"/>
    <x v="59"/>
    <x v="131"/>
    <x v="357"/>
  </r>
  <r>
    <n v="568"/>
    <x v="445"/>
    <x v="12"/>
    <x v="18"/>
    <x v="6"/>
    <x v="7"/>
    <x v="259"/>
    <x v="228"/>
    <x v="59"/>
    <x v="97"/>
    <x v="357"/>
  </r>
  <r>
    <n v="569"/>
    <x v="489"/>
    <x v="13"/>
    <x v="12"/>
    <x v="3"/>
    <x v="1"/>
    <x v="291"/>
    <x v="190"/>
    <x v="59"/>
    <x v="121"/>
    <x v="358"/>
  </r>
  <r>
    <n v="570"/>
    <x v="490"/>
    <x v="3"/>
    <x v="0"/>
    <x v="8"/>
    <x v="32"/>
    <x v="267"/>
    <x v="256"/>
    <x v="59"/>
    <x v="147"/>
    <x v="359"/>
  </r>
  <r>
    <n v="571"/>
    <x v="400"/>
    <x v="6"/>
    <x v="27"/>
    <x v="8"/>
    <x v="5"/>
    <x v="252"/>
    <x v="140"/>
    <x v="59"/>
    <x v="139"/>
    <x v="359"/>
  </r>
  <r>
    <n v="572"/>
    <x v="491"/>
    <x v="0"/>
    <x v="20"/>
    <x v="8"/>
    <x v="4"/>
    <x v="274"/>
    <x v="221"/>
    <x v="59"/>
    <x v="84"/>
    <x v="359"/>
  </r>
  <r>
    <n v="573"/>
    <x v="492"/>
    <x v="16"/>
    <x v="0"/>
    <x v="6"/>
    <x v="7"/>
    <x v="284"/>
    <x v="140"/>
    <x v="63"/>
    <x v="129"/>
    <x v="359"/>
  </r>
  <r>
    <n v="574"/>
    <x v="493"/>
    <x v="1"/>
    <x v="28"/>
    <x v="1"/>
    <x v="0"/>
    <x v="186"/>
    <x v="129"/>
    <x v="194"/>
    <x v="105"/>
    <x v="359"/>
  </r>
  <r>
    <n v="575"/>
    <x v="494"/>
    <x v="11"/>
    <x v="4"/>
    <x v="8"/>
    <x v="0"/>
    <x v="341"/>
    <x v="188"/>
    <x v="132"/>
    <x v="150"/>
    <x v="359"/>
  </r>
  <r>
    <n v="576"/>
    <x v="136"/>
    <x v="4"/>
    <x v="9"/>
    <x v="8"/>
    <x v="17"/>
    <x v="251"/>
    <x v="247"/>
    <x v="59"/>
    <x v="110"/>
    <x v="360"/>
  </r>
  <r>
    <n v="577"/>
    <x v="495"/>
    <x v="6"/>
    <x v="29"/>
    <x v="2"/>
    <x v="2"/>
    <x v="341"/>
    <x v="257"/>
    <x v="66"/>
    <x v="97"/>
    <x v="361"/>
  </r>
  <r>
    <n v="578"/>
    <x v="496"/>
    <x v="16"/>
    <x v="0"/>
    <x v="9"/>
    <x v="3"/>
    <x v="342"/>
    <x v="278"/>
    <x v="132"/>
    <x v="48"/>
    <x v="361"/>
  </r>
  <r>
    <n v="579"/>
    <x v="497"/>
    <x v="4"/>
    <x v="3"/>
    <x v="11"/>
    <x v="1"/>
    <x v="251"/>
    <x v="253"/>
    <x v="60"/>
    <x v="110"/>
    <x v="361"/>
  </r>
  <r>
    <n v="580"/>
    <x v="498"/>
    <x v="5"/>
    <x v="3"/>
    <x v="8"/>
    <x v="3"/>
    <x v="172"/>
    <x v="279"/>
    <x v="23"/>
    <x v="63"/>
    <x v="361"/>
  </r>
  <r>
    <n v="581"/>
    <x v="499"/>
    <x v="6"/>
    <x v="12"/>
    <x v="0"/>
    <x v="8"/>
    <x v="247"/>
    <x v="277"/>
    <x v="59"/>
    <x v="144"/>
    <x v="362"/>
  </r>
  <r>
    <n v="582"/>
    <x v="500"/>
    <x v="0"/>
    <x v="9"/>
    <x v="0"/>
    <x v="0"/>
    <x v="337"/>
    <x v="164"/>
    <x v="15"/>
    <x v="131"/>
    <x v="362"/>
  </r>
  <r>
    <n v="583"/>
    <x v="445"/>
    <x v="4"/>
    <x v="10"/>
    <x v="6"/>
    <x v="7"/>
    <x v="203"/>
    <x v="225"/>
    <x v="60"/>
    <x v="100"/>
    <x v="362"/>
  </r>
  <r>
    <n v="584"/>
    <x v="302"/>
    <x v="4"/>
    <x v="3"/>
    <x v="0"/>
    <x v="7"/>
    <x v="279"/>
    <x v="189"/>
    <x v="63"/>
    <x v="45"/>
    <x v="362"/>
  </r>
  <r>
    <n v="585"/>
    <x v="501"/>
    <x v="4"/>
    <x v="17"/>
    <x v="0"/>
    <x v="2"/>
    <x v="183"/>
    <x v="184"/>
    <x v="63"/>
    <x v="77"/>
    <x v="362"/>
  </r>
  <r>
    <n v="586"/>
    <x v="502"/>
    <x v="3"/>
    <x v="2"/>
    <x v="7"/>
    <x v="0"/>
    <x v="343"/>
    <x v="254"/>
    <x v="195"/>
    <x v="79"/>
    <x v="363"/>
  </r>
  <r>
    <n v="587"/>
    <x v="503"/>
    <x v="6"/>
    <x v="15"/>
    <x v="8"/>
    <x v="7"/>
    <x v="344"/>
    <x v="223"/>
    <x v="60"/>
    <x v="124"/>
    <x v="363"/>
  </r>
  <r>
    <n v="588"/>
    <x v="504"/>
    <x v="0"/>
    <x v="10"/>
    <x v="1"/>
    <x v="0"/>
    <x v="338"/>
    <x v="275"/>
    <x v="158"/>
    <x v="97"/>
    <x v="364"/>
  </r>
  <r>
    <n v="589"/>
    <x v="505"/>
    <x v="20"/>
    <x v="13"/>
    <x v="8"/>
    <x v="8"/>
    <x v="306"/>
    <x v="262"/>
    <x v="31"/>
    <x v="69"/>
    <x v="364"/>
  </r>
  <r>
    <n v="590"/>
    <x v="506"/>
    <x v="5"/>
    <x v="2"/>
    <x v="0"/>
    <x v="7"/>
    <x v="345"/>
    <x v="132"/>
    <x v="60"/>
    <x v="70"/>
    <x v="365"/>
  </r>
  <r>
    <n v="591"/>
    <x v="507"/>
    <x v="5"/>
    <x v="9"/>
    <x v="1"/>
    <x v="3"/>
    <x v="253"/>
    <x v="145"/>
    <x v="36"/>
    <x v="114"/>
    <x v="365"/>
  </r>
  <r>
    <n v="592"/>
    <x v="508"/>
    <x v="6"/>
    <x v="12"/>
    <x v="0"/>
    <x v="7"/>
    <x v="213"/>
    <x v="200"/>
    <x v="59"/>
    <x v="55"/>
    <x v="365"/>
  </r>
  <r>
    <n v="593"/>
    <x v="134"/>
    <x v="16"/>
    <x v="3"/>
    <x v="1"/>
    <x v="3"/>
    <x v="346"/>
    <x v="73"/>
    <x v="63"/>
    <x v="80"/>
    <x v="366"/>
  </r>
  <r>
    <n v="594"/>
    <x v="509"/>
    <x v="10"/>
    <x v="11"/>
    <x v="6"/>
    <x v="3"/>
    <x v="332"/>
    <x v="233"/>
    <x v="35"/>
    <x v="83"/>
    <x v="366"/>
  </r>
  <r>
    <n v="595"/>
    <x v="510"/>
    <x v="4"/>
    <x v="3"/>
    <x v="8"/>
    <x v="2"/>
    <x v="317"/>
    <x v="73"/>
    <x v="103"/>
    <x v="143"/>
    <x v="366"/>
  </r>
  <r>
    <n v="596"/>
    <x v="511"/>
    <x v="16"/>
    <x v="9"/>
    <x v="3"/>
    <x v="12"/>
    <x v="347"/>
    <x v="199"/>
    <x v="169"/>
    <x v="66"/>
    <x v="366"/>
  </r>
  <r>
    <n v="597"/>
    <x v="512"/>
    <x v="6"/>
    <x v="0"/>
    <x v="9"/>
    <x v="28"/>
    <x v="233"/>
    <x v="221"/>
    <x v="103"/>
    <x v="147"/>
    <x v="366"/>
  </r>
  <r>
    <n v="598"/>
    <x v="513"/>
    <x v="6"/>
    <x v="12"/>
    <x v="1"/>
    <x v="3"/>
    <x v="348"/>
    <x v="156"/>
    <x v="150"/>
    <x v="84"/>
    <x v="367"/>
  </r>
  <r>
    <n v="599"/>
    <x v="514"/>
    <x v="3"/>
    <x v="10"/>
    <x v="5"/>
    <x v="0"/>
    <x v="191"/>
    <x v="170"/>
    <x v="171"/>
    <x v="83"/>
    <x v="367"/>
  </r>
  <r>
    <n v="600"/>
    <x v="515"/>
    <x v="4"/>
    <x v="3"/>
    <x v="3"/>
    <x v="7"/>
    <x v="302"/>
    <x v="248"/>
    <x v="103"/>
    <x v="84"/>
    <x v="367"/>
  </r>
  <r>
    <n v="601"/>
    <x v="516"/>
    <x v="6"/>
    <x v="9"/>
    <x v="0"/>
    <x v="7"/>
    <x v="237"/>
    <x v="280"/>
    <x v="59"/>
    <x v="55"/>
    <x v="367"/>
  </r>
  <r>
    <n v="602"/>
    <x v="517"/>
    <x v="18"/>
    <x v="16"/>
    <x v="1"/>
    <x v="8"/>
    <x v="172"/>
    <x v="281"/>
    <x v="93"/>
    <x v="99"/>
    <x v="368"/>
  </r>
  <r>
    <n v="603"/>
    <x v="518"/>
    <x v="1"/>
    <x v="35"/>
    <x v="3"/>
    <x v="24"/>
    <x v="349"/>
    <x v="129"/>
    <x v="196"/>
    <x v="105"/>
    <x v="368"/>
  </r>
  <r>
    <n v="604"/>
    <x v="436"/>
    <x v="5"/>
    <x v="20"/>
    <x v="0"/>
    <x v="7"/>
    <x v="220"/>
    <x v="282"/>
    <x v="59"/>
    <x v="84"/>
    <x v="368"/>
  </r>
  <r>
    <n v="605"/>
    <x v="519"/>
    <x v="18"/>
    <x v="27"/>
    <x v="3"/>
    <x v="0"/>
    <x v="350"/>
    <x v="138"/>
    <x v="82"/>
    <x v="99"/>
    <x v="369"/>
  </r>
  <r>
    <n v="606"/>
    <x v="520"/>
    <x v="0"/>
    <x v="2"/>
    <x v="0"/>
    <x v="14"/>
    <x v="283"/>
    <x v="247"/>
    <x v="130"/>
    <x v="131"/>
    <x v="369"/>
  </r>
  <r>
    <n v="607"/>
    <x v="521"/>
    <x v="4"/>
    <x v="2"/>
    <x v="0"/>
    <x v="7"/>
    <x v="258"/>
    <x v="277"/>
    <x v="59"/>
    <x v="120"/>
    <x v="369"/>
  </r>
  <r>
    <n v="608"/>
    <x v="522"/>
    <x v="15"/>
    <x v="30"/>
    <x v="6"/>
    <x v="10"/>
    <x v="192"/>
    <x v="184"/>
    <x v="59"/>
    <x v="150"/>
    <x v="370"/>
  </r>
  <r>
    <n v="609"/>
    <x v="523"/>
    <x v="6"/>
    <x v="16"/>
    <x v="2"/>
    <x v="30"/>
    <x v="283"/>
    <x v="145"/>
    <x v="23"/>
    <x v="84"/>
    <x v="371"/>
  </r>
  <r>
    <n v="610"/>
    <x v="524"/>
    <x v="11"/>
    <x v="29"/>
    <x v="8"/>
    <x v="0"/>
    <x v="203"/>
    <x v="152"/>
    <x v="97"/>
    <x v="125"/>
    <x v="371"/>
  </r>
  <r>
    <n v="611"/>
    <x v="525"/>
    <x v="0"/>
    <x v="9"/>
    <x v="5"/>
    <x v="39"/>
    <x v="292"/>
    <x v="283"/>
    <x v="59"/>
    <x v="110"/>
    <x v="371"/>
  </r>
  <r>
    <n v="612"/>
    <x v="526"/>
    <x v="1"/>
    <x v="28"/>
    <x v="3"/>
    <x v="12"/>
    <x v="351"/>
    <x v="129"/>
    <x v="197"/>
    <x v="151"/>
    <x v="371"/>
  </r>
  <r>
    <n v="613"/>
    <x v="527"/>
    <x v="5"/>
    <x v="11"/>
    <x v="8"/>
    <x v="16"/>
    <x v="173"/>
    <x v="174"/>
    <x v="36"/>
    <x v="51"/>
    <x v="372"/>
  </r>
  <r>
    <n v="614"/>
    <x v="528"/>
    <x v="4"/>
    <x v="0"/>
    <x v="3"/>
    <x v="4"/>
    <x v="198"/>
    <x v="284"/>
    <x v="59"/>
    <x v="79"/>
    <x v="373"/>
  </r>
  <r>
    <n v="615"/>
    <x v="529"/>
    <x v="6"/>
    <x v="2"/>
    <x v="0"/>
    <x v="14"/>
    <x v="352"/>
    <x v="266"/>
    <x v="143"/>
    <x v="19"/>
    <x v="373"/>
  </r>
  <r>
    <n v="616"/>
    <x v="530"/>
    <x v="11"/>
    <x v="8"/>
    <x v="5"/>
    <x v="0"/>
    <x v="227"/>
    <x v="184"/>
    <x v="126"/>
    <x v="149"/>
    <x v="373"/>
  </r>
  <r>
    <n v="617"/>
    <x v="470"/>
    <x v="5"/>
    <x v="17"/>
    <x v="8"/>
    <x v="28"/>
    <x v="284"/>
    <x v="164"/>
    <x v="147"/>
    <x v="137"/>
    <x v="374"/>
  </r>
  <r>
    <n v="618"/>
    <x v="531"/>
    <x v="13"/>
    <x v="27"/>
    <x v="8"/>
    <x v="2"/>
    <x v="321"/>
    <x v="248"/>
    <x v="59"/>
    <x v="121"/>
    <x v="374"/>
  </r>
  <r>
    <n v="619"/>
    <x v="532"/>
    <x v="0"/>
    <x v="10"/>
    <x v="8"/>
    <x v="19"/>
    <x v="312"/>
    <x v="226"/>
    <x v="59"/>
    <x v="45"/>
    <x v="374"/>
  </r>
  <r>
    <n v="620"/>
    <x v="533"/>
    <x v="6"/>
    <x v="15"/>
    <x v="9"/>
    <x v="39"/>
    <x v="353"/>
    <x v="275"/>
    <x v="59"/>
    <x v="58"/>
    <x v="374"/>
  </r>
  <r>
    <n v="621"/>
    <x v="534"/>
    <x v="5"/>
    <x v="2"/>
    <x v="6"/>
    <x v="3"/>
    <x v="252"/>
    <x v="285"/>
    <x v="69"/>
    <x v="137"/>
    <x v="375"/>
  </r>
  <r>
    <n v="622"/>
    <x v="535"/>
    <x v="4"/>
    <x v="2"/>
    <x v="2"/>
    <x v="32"/>
    <x v="246"/>
    <x v="285"/>
    <x v="59"/>
    <x v="131"/>
    <x v="375"/>
  </r>
  <r>
    <n v="623"/>
    <x v="536"/>
    <x v="12"/>
    <x v="18"/>
    <x v="8"/>
    <x v="21"/>
    <x v="252"/>
    <x v="215"/>
    <x v="23"/>
    <x v="132"/>
    <x v="375"/>
  </r>
  <r>
    <n v="624"/>
    <x v="404"/>
    <x v="5"/>
    <x v="20"/>
    <x v="0"/>
    <x v="2"/>
    <x v="300"/>
    <x v="197"/>
    <x v="72"/>
    <x v="143"/>
    <x v="375"/>
  </r>
  <r>
    <n v="625"/>
    <x v="537"/>
    <x v="4"/>
    <x v="30"/>
    <x v="5"/>
    <x v="7"/>
    <x v="265"/>
    <x v="286"/>
    <x v="59"/>
    <x v="100"/>
    <x v="375"/>
  </r>
  <r>
    <n v="626"/>
    <x v="538"/>
    <x v="4"/>
    <x v="11"/>
    <x v="0"/>
    <x v="2"/>
    <x v="164"/>
    <x v="267"/>
    <x v="59"/>
    <x v="103"/>
    <x v="376"/>
  </r>
  <r>
    <n v="627"/>
    <x v="539"/>
    <x v="18"/>
    <x v="15"/>
    <x v="5"/>
    <x v="0"/>
    <x v="283"/>
    <x v="273"/>
    <x v="158"/>
    <x v="99"/>
    <x v="376"/>
  </r>
  <r>
    <n v="628"/>
    <x v="540"/>
    <x v="0"/>
    <x v="10"/>
    <x v="5"/>
    <x v="28"/>
    <x v="113"/>
    <x v="190"/>
    <x v="59"/>
    <x v="120"/>
    <x v="377"/>
  </r>
  <r>
    <n v="629"/>
    <x v="541"/>
    <x v="5"/>
    <x v="2"/>
    <x v="2"/>
    <x v="2"/>
    <x v="203"/>
    <x v="272"/>
    <x v="72"/>
    <x v="78"/>
    <x v="378"/>
  </r>
  <r>
    <n v="630"/>
    <x v="542"/>
    <x v="7"/>
    <x v="22"/>
    <x v="3"/>
    <x v="9"/>
    <x v="186"/>
    <x v="129"/>
    <x v="198"/>
    <x v="135"/>
    <x v="378"/>
  </r>
  <r>
    <n v="631"/>
    <x v="543"/>
    <x v="12"/>
    <x v="23"/>
    <x v="3"/>
    <x v="9"/>
    <x v="253"/>
    <x v="277"/>
    <x v="199"/>
    <x v="125"/>
    <x v="378"/>
  </r>
  <r>
    <n v="632"/>
    <x v="544"/>
    <x v="12"/>
    <x v="4"/>
    <x v="2"/>
    <x v="3"/>
    <x v="254"/>
    <x v="287"/>
    <x v="59"/>
    <x v="99"/>
    <x v="379"/>
  </r>
  <r>
    <n v="633"/>
    <x v="545"/>
    <x v="4"/>
    <x v="17"/>
    <x v="6"/>
    <x v="1"/>
    <x v="259"/>
    <x v="222"/>
    <x v="60"/>
    <x v="84"/>
    <x v="379"/>
  </r>
  <r>
    <n v="634"/>
    <x v="546"/>
    <x v="16"/>
    <x v="0"/>
    <x v="2"/>
    <x v="7"/>
    <x v="257"/>
    <x v="154"/>
    <x v="59"/>
    <x v="30"/>
    <x v="379"/>
  </r>
  <r>
    <n v="635"/>
    <x v="547"/>
    <x v="6"/>
    <x v="27"/>
    <x v="7"/>
    <x v="7"/>
    <x v="337"/>
    <x v="265"/>
    <x v="59"/>
    <x v="66"/>
    <x v="380"/>
  </r>
  <r>
    <n v="636"/>
    <x v="548"/>
    <x v="14"/>
    <x v="23"/>
    <x v="10"/>
    <x v="36"/>
    <x v="305"/>
    <x v="253"/>
    <x v="59"/>
    <x v="130"/>
    <x v="380"/>
  </r>
  <r>
    <n v="637"/>
    <x v="549"/>
    <x v="4"/>
    <x v="2"/>
    <x v="6"/>
    <x v="5"/>
    <x v="274"/>
    <x v="159"/>
    <x v="66"/>
    <x v="45"/>
    <x v="381"/>
  </r>
  <r>
    <n v="638"/>
    <x v="550"/>
    <x v="21"/>
    <x v="18"/>
    <x v="1"/>
    <x v="8"/>
    <x v="354"/>
    <x v="159"/>
    <x v="140"/>
    <x v="69"/>
    <x v="381"/>
  </r>
  <r>
    <n v="639"/>
    <x v="551"/>
    <x v="1"/>
    <x v="14"/>
    <x v="0"/>
    <x v="0"/>
    <x v="298"/>
    <x v="258"/>
    <x v="105"/>
    <x v="134"/>
    <x v="381"/>
  </r>
  <r>
    <n v="640"/>
    <x v="552"/>
    <x v="5"/>
    <x v="10"/>
    <x v="0"/>
    <x v="14"/>
    <x v="330"/>
    <x v="91"/>
    <x v="162"/>
    <x v="63"/>
    <x v="381"/>
  </r>
  <r>
    <n v="641"/>
    <x v="553"/>
    <x v="6"/>
    <x v="27"/>
    <x v="9"/>
    <x v="10"/>
    <x v="288"/>
    <x v="269"/>
    <x v="155"/>
    <x v="125"/>
    <x v="382"/>
  </r>
  <r>
    <n v="642"/>
    <x v="554"/>
    <x v="6"/>
    <x v="16"/>
    <x v="2"/>
    <x v="3"/>
    <x v="148"/>
    <x v="151"/>
    <x v="59"/>
    <x v="69"/>
    <x v="382"/>
  </r>
  <r>
    <n v="643"/>
    <x v="555"/>
    <x v="12"/>
    <x v="18"/>
    <x v="8"/>
    <x v="12"/>
    <x v="355"/>
    <x v="211"/>
    <x v="82"/>
    <x v="97"/>
    <x v="382"/>
  </r>
  <r>
    <n v="644"/>
    <x v="63"/>
    <x v="17"/>
    <x v="21"/>
    <x v="5"/>
    <x v="1"/>
    <x v="287"/>
    <x v="211"/>
    <x v="59"/>
    <x v="84"/>
    <x v="382"/>
  </r>
  <r>
    <n v="645"/>
    <x v="556"/>
    <x v="6"/>
    <x v="9"/>
    <x v="2"/>
    <x v="7"/>
    <x v="339"/>
    <x v="129"/>
    <x v="60"/>
    <x v="152"/>
    <x v="382"/>
  </r>
  <r>
    <n v="646"/>
    <x v="360"/>
    <x v="17"/>
    <x v="19"/>
    <x v="0"/>
    <x v="7"/>
    <x v="148"/>
    <x v="280"/>
    <x v="59"/>
    <x v="147"/>
    <x v="383"/>
  </r>
  <r>
    <n v="647"/>
    <x v="557"/>
    <x v="12"/>
    <x v="4"/>
    <x v="4"/>
    <x v="40"/>
    <x v="164"/>
    <x v="182"/>
    <x v="59"/>
    <x v="99"/>
    <x v="383"/>
  </r>
  <r>
    <n v="648"/>
    <x v="558"/>
    <x v="1"/>
    <x v="35"/>
    <x v="9"/>
    <x v="0"/>
    <x v="356"/>
    <x v="288"/>
    <x v="86"/>
    <x v="150"/>
    <x v="383"/>
  </r>
  <r>
    <n v="649"/>
    <x v="559"/>
    <x v="14"/>
    <x v="23"/>
    <x v="11"/>
    <x v="7"/>
    <x v="157"/>
    <x v="245"/>
    <x v="59"/>
    <x v="105"/>
    <x v="383"/>
  </r>
  <r>
    <n v="650"/>
    <x v="560"/>
    <x v="8"/>
    <x v="30"/>
    <x v="10"/>
    <x v="14"/>
    <x v="247"/>
    <x v="288"/>
    <x v="59"/>
    <x v="99"/>
    <x v="384"/>
  </r>
  <r>
    <n v="651"/>
    <x v="561"/>
    <x v="10"/>
    <x v="19"/>
    <x v="2"/>
    <x v="7"/>
    <x v="351"/>
    <x v="289"/>
    <x v="72"/>
    <x v="144"/>
    <x v="384"/>
  </r>
  <r>
    <n v="652"/>
    <x v="106"/>
    <x v="4"/>
    <x v="10"/>
    <x v="0"/>
    <x v="11"/>
    <x v="150"/>
    <x v="198"/>
    <x v="59"/>
    <x v="66"/>
    <x v="384"/>
  </r>
  <r>
    <n v="653"/>
    <x v="279"/>
    <x v="0"/>
    <x v="30"/>
    <x v="8"/>
    <x v="17"/>
    <x v="209"/>
    <x v="9"/>
    <x v="59"/>
    <x v="84"/>
    <x v="384"/>
  </r>
  <r>
    <n v="655"/>
    <x v="562"/>
    <x v="14"/>
    <x v="25"/>
    <x v="5"/>
    <x v="27"/>
    <x v="260"/>
    <x v="225"/>
    <x v="59"/>
    <x v="130"/>
    <x v="384"/>
  </r>
  <r>
    <n v="656"/>
    <x v="563"/>
    <x v="5"/>
    <x v="11"/>
    <x v="8"/>
    <x v="19"/>
    <x v="337"/>
    <x v="247"/>
    <x v="60"/>
    <x v="139"/>
    <x v="384"/>
  </r>
  <r>
    <n v="657"/>
    <x v="564"/>
    <x v="4"/>
    <x v="17"/>
    <x v="8"/>
    <x v="41"/>
    <x v="304"/>
    <x v="259"/>
    <x v="59"/>
    <x v="120"/>
    <x v="384"/>
  </r>
  <r>
    <n v="658"/>
    <x v="565"/>
    <x v="6"/>
    <x v="7"/>
    <x v="5"/>
    <x v="22"/>
    <x v="113"/>
    <x v="159"/>
    <x v="103"/>
    <x v="99"/>
    <x v="385"/>
  </r>
  <r>
    <n v="659"/>
    <x v="136"/>
    <x v="5"/>
    <x v="9"/>
    <x v="8"/>
    <x v="17"/>
    <x v="338"/>
    <x v="226"/>
    <x v="59"/>
    <x v="137"/>
    <x v="385"/>
  </r>
  <r>
    <n v="660"/>
    <x v="566"/>
    <x v="4"/>
    <x v="17"/>
    <x v="5"/>
    <x v="1"/>
    <x v="193"/>
    <x v="279"/>
    <x v="66"/>
    <x v="66"/>
    <x v="385"/>
  </r>
  <r>
    <n v="661"/>
    <x v="567"/>
    <x v="11"/>
    <x v="18"/>
    <x v="9"/>
    <x v="28"/>
    <x v="196"/>
    <x v="237"/>
    <x v="103"/>
    <x v="135"/>
    <x v="385"/>
  </r>
  <r>
    <n v="662"/>
    <x v="568"/>
    <x v="10"/>
    <x v="19"/>
    <x v="8"/>
    <x v="3"/>
    <x v="357"/>
    <x v="211"/>
    <x v="143"/>
    <x v="144"/>
    <x v="385"/>
  </r>
  <r>
    <n v="663"/>
    <x v="569"/>
    <x v="10"/>
    <x v="21"/>
    <x v="0"/>
    <x v="2"/>
    <x v="224"/>
    <x v="272"/>
    <x v="63"/>
    <x v="128"/>
    <x v="385"/>
  </r>
  <r>
    <n v="664"/>
    <x v="481"/>
    <x v="5"/>
    <x v="10"/>
    <x v="0"/>
    <x v="7"/>
    <x v="231"/>
    <x v="290"/>
    <x v="59"/>
    <x v="79"/>
    <x v="385"/>
  </r>
  <r>
    <n v="665"/>
    <x v="570"/>
    <x v="6"/>
    <x v="16"/>
    <x v="5"/>
    <x v="14"/>
    <x v="358"/>
    <x v="177"/>
    <x v="59"/>
    <x v="91"/>
    <x v="385"/>
  </r>
  <r>
    <n v="666"/>
    <x v="516"/>
    <x v="4"/>
    <x v="9"/>
    <x v="0"/>
    <x v="7"/>
    <x v="151"/>
    <x v="46"/>
    <x v="59"/>
    <x v="66"/>
    <x v="386"/>
  </r>
  <r>
    <n v="667"/>
    <x v="571"/>
    <x v="14"/>
    <x v="12"/>
    <x v="6"/>
    <x v="23"/>
    <x v="83"/>
    <x v="284"/>
    <x v="36"/>
    <x v="105"/>
    <x v="386"/>
  </r>
  <r>
    <n v="668"/>
    <x v="572"/>
    <x v="6"/>
    <x v="12"/>
    <x v="8"/>
    <x v="28"/>
    <x v="165"/>
    <x v="147"/>
    <x v="60"/>
    <x v="91"/>
    <x v="386"/>
  </r>
  <r>
    <n v="669"/>
    <x v="573"/>
    <x v="6"/>
    <x v="12"/>
    <x v="0"/>
    <x v="4"/>
    <x v="336"/>
    <x v="250"/>
    <x v="63"/>
    <x v="147"/>
    <x v="386"/>
  </r>
  <r>
    <n v="670"/>
    <x v="444"/>
    <x v="5"/>
    <x v="3"/>
    <x v="0"/>
    <x v="7"/>
    <x v="213"/>
    <x v="291"/>
    <x v="59"/>
    <x v="100"/>
    <x v="386"/>
  </r>
  <r>
    <n v="671"/>
    <x v="574"/>
    <x v="4"/>
    <x v="17"/>
    <x v="0"/>
    <x v="1"/>
    <x v="246"/>
    <x v="156"/>
    <x v="66"/>
    <x v="84"/>
    <x v="387"/>
  </r>
  <r>
    <n v="672"/>
    <x v="575"/>
    <x v="2"/>
    <x v="31"/>
    <x v="1"/>
    <x v="0"/>
    <x v="339"/>
    <x v="184"/>
    <x v="200"/>
    <x v="134"/>
    <x v="387"/>
  </r>
  <r>
    <n v="673"/>
    <x v="532"/>
    <x v="3"/>
    <x v="10"/>
    <x v="8"/>
    <x v="19"/>
    <x v="337"/>
    <x v="187"/>
    <x v="59"/>
    <x v="45"/>
    <x v="388"/>
  </r>
  <r>
    <n v="674"/>
    <x v="576"/>
    <x v="2"/>
    <x v="4"/>
    <x v="1"/>
    <x v="0"/>
    <x v="359"/>
    <x v="198"/>
    <x v="168"/>
    <x v="69"/>
    <x v="388"/>
  </r>
  <r>
    <n v="675"/>
    <x v="577"/>
    <x v="2"/>
    <x v="18"/>
    <x v="3"/>
    <x v="21"/>
    <x v="186"/>
    <x v="129"/>
    <x v="201"/>
    <x v="149"/>
    <x v="388"/>
  </r>
  <r>
    <n v="676"/>
    <x v="541"/>
    <x v="4"/>
    <x v="2"/>
    <x v="2"/>
    <x v="2"/>
    <x v="243"/>
    <x v="279"/>
    <x v="63"/>
    <x v="120"/>
    <x v="388"/>
  </r>
  <r>
    <n v="677"/>
    <x v="578"/>
    <x v="0"/>
    <x v="11"/>
    <x v="1"/>
    <x v="4"/>
    <x v="327"/>
    <x v="123"/>
    <x v="59"/>
    <x v="120"/>
    <x v="389"/>
  </r>
  <r>
    <n v="678"/>
    <x v="579"/>
    <x v="6"/>
    <x v="9"/>
    <x v="9"/>
    <x v="28"/>
    <x v="216"/>
    <x v="129"/>
    <x v="63"/>
    <x v="153"/>
    <x v="389"/>
  </r>
  <r>
    <n v="679"/>
    <x v="580"/>
    <x v="0"/>
    <x v="2"/>
    <x v="0"/>
    <x v="5"/>
    <x v="334"/>
    <x v="292"/>
    <x v="59"/>
    <x v="110"/>
    <x v="389"/>
  </r>
  <r>
    <n v="680"/>
    <x v="581"/>
    <x v="6"/>
    <x v="16"/>
    <x v="8"/>
    <x v="12"/>
    <x v="162"/>
    <x v="268"/>
    <x v="187"/>
    <x v="100"/>
    <x v="389"/>
  </r>
  <r>
    <n v="681"/>
    <x v="74"/>
    <x v="4"/>
    <x v="10"/>
    <x v="7"/>
    <x v="7"/>
    <x v="298"/>
    <x v="250"/>
    <x v="59"/>
    <x v="120"/>
    <x v="390"/>
  </r>
  <r>
    <n v="682"/>
    <x v="582"/>
    <x v="9"/>
    <x v="19"/>
    <x v="8"/>
    <x v="0"/>
    <x v="261"/>
    <x v="272"/>
    <x v="24"/>
    <x v="103"/>
    <x v="391"/>
  </r>
  <r>
    <n v="683"/>
    <x v="269"/>
    <x v="17"/>
    <x v="19"/>
    <x v="0"/>
    <x v="2"/>
    <x v="265"/>
    <x v="184"/>
    <x v="59"/>
    <x v="110"/>
    <x v="391"/>
  </r>
  <r>
    <n v="684"/>
    <x v="583"/>
    <x v="0"/>
    <x v="10"/>
    <x v="5"/>
    <x v="5"/>
    <x v="273"/>
    <x v="248"/>
    <x v="59"/>
    <x v="79"/>
    <x v="391"/>
  </r>
  <r>
    <n v="685"/>
    <x v="584"/>
    <x v="11"/>
    <x v="29"/>
    <x v="0"/>
    <x v="0"/>
    <x v="105"/>
    <x v="17"/>
    <x v="202"/>
    <x v="99"/>
    <x v="391"/>
  </r>
  <r>
    <n v="686"/>
    <x v="585"/>
    <x v="12"/>
    <x v="23"/>
    <x v="8"/>
    <x v="2"/>
    <x v="115"/>
    <x v="92"/>
    <x v="60"/>
    <x v="97"/>
    <x v="391"/>
  </r>
  <r>
    <n v="687"/>
    <x v="586"/>
    <x v="6"/>
    <x v="12"/>
    <x v="6"/>
    <x v="7"/>
    <x v="360"/>
    <x v="164"/>
    <x v="101"/>
    <x v="145"/>
    <x v="392"/>
  </r>
  <r>
    <n v="688"/>
    <x v="587"/>
    <x v="3"/>
    <x v="12"/>
    <x v="4"/>
    <x v="0"/>
    <x v="361"/>
    <x v="85"/>
    <x v="203"/>
    <x v="132"/>
    <x v="392"/>
  </r>
  <r>
    <n v="689"/>
    <x v="588"/>
    <x v="12"/>
    <x v="8"/>
    <x v="2"/>
    <x v="7"/>
    <x v="316"/>
    <x v="255"/>
    <x v="59"/>
    <x v="121"/>
    <x v="392"/>
  </r>
  <r>
    <n v="690"/>
    <x v="589"/>
    <x v="7"/>
    <x v="31"/>
    <x v="3"/>
    <x v="9"/>
    <x v="191"/>
    <x v="129"/>
    <x v="108"/>
    <x v="149"/>
    <x v="392"/>
  </r>
  <r>
    <n v="691"/>
    <x v="590"/>
    <x v="12"/>
    <x v="18"/>
    <x v="0"/>
    <x v="42"/>
    <x v="235"/>
    <x v="279"/>
    <x v="69"/>
    <x v="130"/>
    <x v="392"/>
  </r>
  <r>
    <n v="692"/>
    <x v="591"/>
    <x v="4"/>
    <x v="11"/>
    <x v="8"/>
    <x v="19"/>
    <x v="335"/>
    <x v="285"/>
    <x v="59"/>
    <x v="100"/>
    <x v="393"/>
  </r>
  <r>
    <n v="693"/>
    <x v="592"/>
    <x v="14"/>
    <x v="20"/>
    <x v="8"/>
    <x v="43"/>
    <x v="297"/>
    <x v="164"/>
    <x v="59"/>
    <x v="49"/>
    <x v="393"/>
  </r>
  <r>
    <n v="694"/>
    <x v="593"/>
    <x v="3"/>
    <x v="2"/>
    <x v="3"/>
    <x v="0"/>
    <x v="297"/>
    <x v="272"/>
    <x v="146"/>
    <x v="66"/>
    <x v="393"/>
  </r>
  <r>
    <n v="695"/>
    <x v="564"/>
    <x v="5"/>
    <x v="17"/>
    <x v="8"/>
    <x v="41"/>
    <x v="162"/>
    <x v="152"/>
    <x v="127"/>
    <x v="78"/>
    <x v="394"/>
  </r>
  <r>
    <n v="696"/>
    <x v="158"/>
    <x v="14"/>
    <x v="23"/>
    <x v="8"/>
    <x v="21"/>
    <x v="309"/>
    <x v="153"/>
    <x v="59"/>
    <x v="132"/>
    <x v="394"/>
  </r>
  <r>
    <n v="697"/>
    <x v="594"/>
    <x v="5"/>
    <x v="11"/>
    <x v="8"/>
    <x v="3"/>
    <x v="275"/>
    <x v="229"/>
    <x v="60"/>
    <x v="119"/>
    <x v="394"/>
  </r>
  <r>
    <n v="698"/>
    <x v="102"/>
    <x v="13"/>
    <x v="12"/>
    <x v="2"/>
    <x v="7"/>
    <x v="246"/>
    <x v="256"/>
    <x v="59"/>
    <x v="130"/>
    <x v="395"/>
  </r>
  <r>
    <n v="699"/>
    <x v="595"/>
    <x v="5"/>
    <x v="3"/>
    <x v="0"/>
    <x v="14"/>
    <x v="333"/>
    <x v="191"/>
    <x v="140"/>
    <x v="147"/>
    <x v="395"/>
  </r>
  <r>
    <n v="700"/>
    <x v="596"/>
    <x v="0"/>
    <x v="21"/>
    <x v="5"/>
    <x v="5"/>
    <x v="74"/>
    <x v="154"/>
    <x v="59"/>
    <x v="120"/>
    <x v="395"/>
  </r>
  <r>
    <n v="701"/>
    <x v="597"/>
    <x v="9"/>
    <x v="19"/>
    <x v="8"/>
    <x v="37"/>
    <x v="186"/>
    <x v="129"/>
    <x v="204"/>
    <x v="105"/>
    <x v="395"/>
  </r>
  <r>
    <n v="702"/>
    <x v="598"/>
    <x v="1"/>
    <x v="37"/>
    <x v="1"/>
    <x v="0"/>
    <x v="362"/>
    <x v="277"/>
    <x v="205"/>
    <x v="135"/>
    <x v="395"/>
  </r>
  <r>
    <n v="703"/>
    <x v="506"/>
    <x v="6"/>
    <x v="2"/>
    <x v="0"/>
    <x v="7"/>
    <x v="363"/>
    <x v="266"/>
    <x v="63"/>
    <x v="154"/>
    <x v="395"/>
  </r>
  <r>
    <n v="704"/>
    <x v="453"/>
    <x v="5"/>
    <x v="2"/>
    <x v="8"/>
    <x v="17"/>
    <x v="315"/>
    <x v="292"/>
    <x v="59"/>
    <x v="128"/>
    <x v="395"/>
  </r>
  <r>
    <n v="705"/>
    <x v="390"/>
    <x v="5"/>
    <x v="20"/>
    <x v="6"/>
    <x v="2"/>
    <x v="329"/>
    <x v="146"/>
    <x v="69"/>
    <x v="144"/>
    <x v="395"/>
  </r>
  <r>
    <n v="706"/>
    <x v="599"/>
    <x v="12"/>
    <x v="23"/>
    <x v="2"/>
    <x v="35"/>
    <x v="124"/>
    <x v="171"/>
    <x v="66"/>
    <x v="66"/>
    <x v="395"/>
  </r>
  <r>
    <n v="707"/>
    <x v="600"/>
    <x v="9"/>
    <x v="20"/>
    <x v="3"/>
    <x v="0"/>
    <x v="244"/>
    <x v="237"/>
    <x v="156"/>
    <x v="104"/>
    <x v="396"/>
  </r>
  <r>
    <n v="708"/>
    <x v="601"/>
    <x v="5"/>
    <x v="3"/>
    <x v="5"/>
    <x v="8"/>
    <x v="282"/>
    <x v="251"/>
    <x v="59"/>
    <x v="78"/>
    <x v="396"/>
  </r>
  <r>
    <n v="709"/>
    <x v="602"/>
    <x v="0"/>
    <x v="0"/>
    <x v="5"/>
    <x v="8"/>
    <x v="337"/>
    <x v="181"/>
    <x v="60"/>
    <x v="110"/>
    <x v="396"/>
  </r>
  <r>
    <n v="710"/>
    <x v="603"/>
    <x v="8"/>
    <x v="15"/>
    <x v="1"/>
    <x v="0"/>
    <x v="156"/>
    <x v="245"/>
    <x v="112"/>
    <x v="117"/>
    <x v="396"/>
  </r>
  <r>
    <n v="711"/>
    <x v="604"/>
    <x v="8"/>
    <x v="16"/>
    <x v="1"/>
    <x v="0"/>
    <x v="344"/>
    <x v="222"/>
    <x v="162"/>
    <x v="121"/>
    <x v="397"/>
  </r>
  <r>
    <n v="712"/>
    <x v="180"/>
    <x v="5"/>
    <x v="9"/>
    <x v="5"/>
    <x v="4"/>
    <x v="233"/>
    <x v="272"/>
    <x v="66"/>
    <x v="91"/>
    <x v="397"/>
  </r>
  <r>
    <n v="713"/>
    <x v="475"/>
    <x v="0"/>
    <x v="30"/>
    <x v="6"/>
    <x v="4"/>
    <x v="331"/>
    <x v="254"/>
    <x v="59"/>
    <x v="45"/>
    <x v="397"/>
  </r>
  <r>
    <n v="714"/>
    <x v="304"/>
    <x v="0"/>
    <x v="9"/>
    <x v="8"/>
    <x v="12"/>
    <x v="282"/>
    <x v="138"/>
    <x v="50"/>
    <x v="100"/>
    <x v="397"/>
  </r>
  <r>
    <n v="715"/>
    <x v="63"/>
    <x v="22"/>
    <x v="21"/>
    <x v="5"/>
    <x v="15"/>
    <x v="191"/>
    <x v="148"/>
    <x v="89"/>
    <x v="145"/>
    <x v="398"/>
  </r>
  <r>
    <n v="716"/>
    <x v="605"/>
    <x v="6"/>
    <x v="15"/>
    <x v="10"/>
    <x v="12"/>
    <x v="364"/>
    <x v="197"/>
    <x v="202"/>
    <x v="132"/>
    <x v="398"/>
  </r>
  <r>
    <n v="717"/>
    <x v="606"/>
    <x v="12"/>
    <x v="23"/>
    <x v="0"/>
    <x v="44"/>
    <x v="305"/>
    <x v="279"/>
    <x v="120"/>
    <x v="69"/>
    <x v="398"/>
  </r>
  <r>
    <n v="718"/>
    <x v="607"/>
    <x v="18"/>
    <x v="12"/>
    <x v="3"/>
    <x v="0"/>
    <x v="304"/>
    <x v="287"/>
    <x v="140"/>
    <x v="125"/>
    <x v="398"/>
  </r>
  <r>
    <n v="719"/>
    <x v="479"/>
    <x v="5"/>
    <x v="17"/>
    <x v="0"/>
    <x v="7"/>
    <x v="265"/>
    <x v="290"/>
    <x v="59"/>
    <x v="103"/>
    <x v="398"/>
  </r>
  <r>
    <n v="720"/>
    <x v="463"/>
    <x v="0"/>
    <x v="3"/>
    <x v="3"/>
    <x v="0"/>
    <x v="250"/>
    <x v="293"/>
    <x v="141"/>
    <x v="115"/>
    <x v="398"/>
  </r>
  <r>
    <n v="721"/>
    <x v="608"/>
    <x v="16"/>
    <x v="2"/>
    <x v="9"/>
    <x v="16"/>
    <x v="362"/>
    <x v="201"/>
    <x v="112"/>
    <x v="145"/>
    <x v="398"/>
  </r>
  <r>
    <n v="722"/>
    <x v="609"/>
    <x v="8"/>
    <x v="16"/>
    <x v="1"/>
    <x v="8"/>
    <x v="331"/>
    <x v="259"/>
    <x v="79"/>
    <x v="132"/>
    <x v="399"/>
  </r>
  <r>
    <n v="723"/>
    <x v="610"/>
    <x v="8"/>
    <x v="16"/>
    <x v="1"/>
    <x v="23"/>
    <x v="312"/>
    <x v="123"/>
    <x v="59"/>
    <x v="115"/>
    <x v="400"/>
  </r>
  <r>
    <n v="724"/>
    <x v="611"/>
    <x v="1"/>
    <x v="13"/>
    <x v="8"/>
    <x v="14"/>
    <x v="150"/>
    <x v="287"/>
    <x v="93"/>
    <x v="150"/>
    <x v="400"/>
  </r>
  <r>
    <n v="725"/>
    <x v="279"/>
    <x v="3"/>
    <x v="2"/>
    <x v="8"/>
    <x v="4"/>
    <x v="238"/>
    <x v="159"/>
    <x v="59"/>
    <x v="100"/>
    <x v="400"/>
  </r>
  <r>
    <n v="726"/>
    <x v="612"/>
    <x v="6"/>
    <x v="3"/>
    <x v="7"/>
    <x v="14"/>
    <x v="365"/>
    <x v="285"/>
    <x v="59"/>
    <x v="83"/>
    <x v="400"/>
  </r>
  <r>
    <n v="727"/>
    <x v="613"/>
    <x v="19"/>
    <x v="11"/>
    <x v="1"/>
    <x v="0"/>
    <x v="298"/>
    <x v="251"/>
    <x v="147"/>
    <x v="77"/>
    <x v="401"/>
  </r>
  <r>
    <n v="728"/>
    <x v="614"/>
    <x v="6"/>
    <x v="27"/>
    <x v="8"/>
    <x v="5"/>
    <x v="225"/>
    <x v="166"/>
    <x v="59"/>
    <x v="78"/>
    <x v="401"/>
  </r>
  <r>
    <n v="729"/>
    <x v="615"/>
    <x v="3"/>
    <x v="3"/>
    <x v="4"/>
    <x v="19"/>
    <x v="366"/>
    <x v="258"/>
    <x v="66"/>
    <x v="66"/>
    <x v="401"/>
  </r>
  <r>
    <n v="730"/>
    <x v="616"/>
    <x v="2"/>
    <x v="18"/>
    <x v="10"/>
    <x v="0"/>
    <x v="357"/>
    <x v="9"/>
    <x v="184"/>
    <x v="132"/>
    <x v="401"/>
  </r>
  <r>
    <n v="731"/>
    <x v="450"/>
    <x v="4"/>
    <x v="10"/>
    <x v="2"/>
    <x v="7"/>
    <x v="367"/>
    <x v="154"/>
    <x v="59"/>
    <x v="100"/>
    <x v="401"/>
  </r>
  <r>
    <n v="732"/>
    <x v="617"/>
    <x v="4"/>
    <x v="10"/>
    <x v="6"/>
    <x v="2"/>
    <x v="289"/>
    <x v="262"/>
    <x v="66"/>
    <x v="79"/>
    <x v="402"/>
  </r>
  <r>
    <n v="733"/>
    <x v="263"/>
    <x v="17"/>
    <x v="11"/>
    <x v="8"/>
    <x v="5"/>
    <x v="290"/>
    <x v="262"/>
    <x v="59"/>
    <x v="79"/>
    <x v="402"/>
  </r>
  <r>
    <n v="734"/>
    <x v="618"/>
    <x v="6"/>
    <x v="0"/>
    <x v="8"/>
    <x v="12"/>
    <x v="79"/>
    <x v="253"/>
    <x v="72"/>
    <x v="83"/>
    <x v="402"/>
  </r>
  <r>
    <n v="735"/>
    <x v="619"/>
    <x v="4"/>
    <x v="2"/>
    <x v="5"/>
    <x v="7"/>
    <x v="202"/>
    <x v="182"/>
    <x v="59"/>
    <x v="66"/>
    <x v="403"/>
  </r>
  <r>
    <n v="736"/>
    <x v="237"/>
    <x v="15"/>
    <x v="34"/>
    <x v="8"/>
    <x v="45"/>
    <x v="307"/>
    <x v="277"/>
    <x v="59"/>
    <x v="135"/>
    <x v="403"/>
  </r>
  <r>
    <n v="737"/>
    <x v="171"/>
    <x v="4"/>
    <x v="9"/>
    <x v="5"/>
    <x v="4"/>
    <x v="70"/>
    <x v="284"/>
    <x v="59"/>
    <x v="103"/>
    <x v="403"/>
  </r>
  <r>
    <n v="738"/>
    <x v="620"/>
    <x v="2"/>
    <x v="29"/>
    <x v="1"/>
    <x v="0"/>
    <x v="74"/>
    <x v="201"/>
    <x v="187"/>
    <x v="45"/>
    <x v="403"/>
  </r>
  <r>
    <n v="739"/>
    <x v="621"/>
    <x v="1"/>
    <x v="28"/>
    <x v="0"/>
    <x v="25"/>
    <x v="349"/>
    <x v="129"/>
    <x v="206"/>
    <x v="105"/>
    <x v="403"/>
  </r>
  <r>
    <n v="740"/>
    <x v="622"/>
    <x v="0"/>
    <x v="2"/>
    <x v="1"/>
    <x v="8"/>
    <x v="227"/>
    <x v="229"/>
    <x v="66"/>
    <x v="100"/>
    <x v="403"/>
  </r>
  <r>
    <n v="741"/>
    <x v="623"/>
    <x v="3"/>
    <x v="9"/>
    <x v="4"/>
    <x v="32"/>
    <x v="79"/>
    <x v="177"/>
    <x v="59"/>
    <x v="45"/>
    <x v="403"/>
  </r>
  <r>
    <n v="742"/>
    <x v="624"/>
    <x v="5"/>
    <x v="17"/>
    <x v="8"/>
    <x v="14"/>
    <x v="368"/>
    <x v="226"/>
    <x v="167"/>
    <x v="73"/>
    <x v="404"/>
  </r>
  <r>
    <n v="743"/>
    <x v="625"/>
    <x v="4"/>
    <x v="0"/>
    <x v="8"/>
    <x v="28"/>
    <x v="277"/>
    <x v="283"/>
    <x v="66"/>
    <x v="84"/>
    <x v="404"/>
  </r>
  <r>
    <n v="744"/>
    <x v="626"/>
    <x v="13"/>
    <x v="27"/>
    <x v="3"/>
    <x v="4"/>
    <x v="243"/>
    <x v="197"/>
    <x v="59"/>
    <x v="69"/>
    <x v="404"/>
  </r>
  <r>
    <n v="745"/>
    <x v="627"/>
    <x v="2"/>
    <x v="22"/>
    <x v="5"/>
    <x v="0"/>
    <x v="257"/>
    <x v="271"/>
    <x v="46"/>
    <x v="134"/>
    <x v="404"/>
  </r>
  <r>
    <n v="746"/>
    <x v="62"/>
    <x v="2"/>
    <x v="29"/>
    <x v="1"/>
    <x v="0"/>
    <x v="317"/>
    <x v="246"/>
    <x v="38"/>
    <x v="132"/>
    <x v="404"/>
  </r>
  <r>
    <n v="747"/>
    <x v="628"/>
    <x v="5"/>
    <x v="20"/>
    <x v="8"/>
    <x v="16"/>
    <x v="279"/>
    <x v="240"/>
    <x v="35"/>
    <x v="114"/>
    <x v="404"/>
  </r>
  <r>
    <n v="748"/>
    <x v="629"/>
    <x v="2"/>
    <x v="29"/>
    <x v="3"/>
    <x v="14"/>
    <x v="186"/>
    <x v="129"/>
    <x v="207"/>
    <x v="149"/>
    <x v="405"/>
  </r>
  <r>
    <n v="749"/>
    <x v="630"/>
    <x v="6"/>
    <x v="15"/>
    <x v="2"/>
    <x v="28"/>
    <x v="154"/>
    <x v="267"/>
    <x v="59"/>
    <x v="125"/>
    <x v="405"/>
  </r>
  <r>
    <n v="750"/>
    <x v="631"/>
    <x v="17"/>
    <x v="11"/>
    <x v="2"/>
    <x v="1"/>
    <x v="350"/>
    <x v="283"/>
    <x v="63"/>
    <x v="103"/>
    <x v="405"/>
  </r>
  <r>
    <n v="751"/>
    <x v="632"/>
    <x v="4"/>
    <x v="11"/>
    <x v="0"/>
    <x v="7"/>
    <x v="149"/>
    <x v="266"/>
    <x v="59"/>
    <x v="132"/>
    <x v="405"/>
  </r>
  <r>
    <n v="752"/>
    <x v="633"/>
    <x v="3"/>
    <x v="0"/>
    <x v="3"/>
    <x v="0"/>
    <x v="312"/>
    <x v="204"/>
    <x v="163"/>
    <x v="104"/>
    <x v="405"/>
  </r>
  <r>
    <n v="753"/>
    <x v="634"/>
    <x v="8"/>
    <x v="27"/>
    <x v="3"/>
    <x v="0"/>
    <x v="304"/>
    <x v="271"/>
    <x v="24"/>
    <x v="125"/>
    <x v="406"/>
  </r>
  <r>
    <n v="754"/>
    <x v="151"/>
    <x v="4"/>
    <x v="10"/>
    <x v="3"/>
    <x v="16"/>
    <x v="298"/>
    <x v="229"/>
    <x v="63"/>
    <x v="120"/>
    <x v="406"/>
  </r>
  <r>
    <n v="755"/>
    <x v="635"/>
    <x v="11"/>
    <x v="18"/>
    <x v="7"/>
    <x v="0"/>
    <x v="369"/>
    <x v="279"/>
    <x v="36"/>
    <x v="150"/>
    <x v="406"/>
  </r>
  <r>
    <n v="756"/>
    <x v="636"/>
    <x v="1"/>
    <x v="6"/>
    <x v="0"/>
    <x v="0"/>
    <x v="345"/>
    <x v="276"/>
    <x v="208"/>
    <x v="135"/>
    <x v="406"/>
  </r>
  <r>
    <n v="757"/>
    <x v="637"/>
    <x v="14"/>
    <x v="16"/>
    <x v="7"/>
    <x v="7"/>
    <x v="275"/>
    <x v="123"/>
    <x v="59"/>
    <x v="130"/>
    <x v="407"/>
  </r>
  <r>
    <n v="758"/>
    <x v="638"/>
    <x v="0"/>
    <x v="3"/>
    <x v="0"/>
    <x v="5"/>
    <x v="323"/>
    <x v="257"/>
    <x v="59"/>
    <x v="66"/>
    <x v="407"/>
  </r>
  <r>
    <n v="759"/>
    <x v="639"/>
    <x v="12"/>
    <x v="29"/>
    <x v="6"/>
    <x v="3"/>
    <x v="292"/>
    <x v="262"/>
    <x v="66"/>
    <x v="69"/>
    <x v="408"/>
  </r>
  <r>
    <n v="760"/>
    <x v="640"/>
    <x v="10"/>
    <x v="19"/>
    <x v="6"/>
    <x v="5"/>
    <x v="370"/>
    <x v="162"/>
    <x v="29"/>
    <x v="145"/>
    <x v="408"/>
  </r>
  <r>
    <n v="761"/>
    <x v="641"/>
    <x v="1"/>
    <x v="35"/>
    <x v="0"/>
    <x v="0"/>
    <x v="371"/>
    <x v="294"/>
    <x v="68"/>
    <x v="105"/>
    <x v="408"/>
  </r>
  <r>
    <n v="762"/>
    <x v="112"/>
    <x v="17"/>
    <x v="21"/>
    <x v="0"/>
    <x v="7"/>
    <x v="173"/>
    <x v="176"/>
    <x v="59"/>
    <x v="97"/>
    <x v="408"/>
  </r>
  <r>
    <n v="763"/>
    <x v="642"/>
    <x v="16"/>
    <x v="9"/>
    <x v="6"/>
    <x v="4"/>
    <x v="361"/>
    <x v="166"/>
    <x v="59"/>
    <x v="30"/>
    <x v="409"/>
  </r>
  <r>
    <n v="764"/>
    <x v="643"/>
    <x v="7"/>
    <x v="4"/>
    <x v="3"/>
    <x v="0"/>
    <x v="134"/>
    <x v="129"/>
    <x v="80"/>
    <x v="150"/>
    <x v="409"/>
  </r>
  <r>
    <n v="765"/>
    <x v="644"/>
    <x v="1"/>
    <x v="37"/>
    <x v="5"/>
    <x v="0"/>
    <x v="372"/>
    <x v="129"/>
    <x v="52"/>
    <x v="105"/>
    <x v="409"/>
  </r>
  <r>
    <n v="766"/>
    <x v="645"/>
    <x v="1"/>
    <x v="14"/>
    <x v="2"/>
    <x v="0"/>
    <x v="290"/>
    <x v="238"/>
    <x v="91"/>
    <x v="130"/>
    <x v="409"/>
  </r>
  <r>
    <n v="767"/>
    <x v="646"/>
    <x v="14"/>
    <x v="22"/>
    <x v="7"/>
    <x v="46"/>
    <x v="334"/>
    <x v="254"/>
    <x v="59"/>
    <x v="130"/>
    <x v="409"/>
  </r>
  <r>
    <n v="768"/>
    <x v="647"/>
    <x v="15"/>
    <x v="34"/>
    <x v="6"/>
    <x v="47"/>
    <x v="291"/>
    <x v="277"/>
    <x v="59"/>
    <x v="135"/>
    <x v="410"/>
  </r>
  <r>
    <n v="769"/>
    <x v="648"/>
    <x v="6"/>
    <x v="12"/>
    <x v="7"/>
    <x v="14"/>
    <x v="317"/>
    <x v="225"/>
    <x v="59"/>
    <x v="143"/>
    <x v="410"/>
  </r>
  <r>
    <n v="770"/>
    <x v="649"/>
    <x v="3"/>
    <x v="0"/>
    <x v="4"/>
    <x v="0"/>
    <x v="346"/>
    <x v="266"/>
    <x v="209"/>
    <x v="69"/>
    <x v="410"/>
  </r>
  <r>
    <n v="771"/>
    <x v="650"/>
    <x v="8"/>
    <x v="27"/>
    <x v="3"/>
    <x v="9"/>
    <x v="373"/>
    <x v="295"/>
    <x v="133"/>
    <x v="134"/>
    <x v="410"/>
  </r>
  <r>
    <n v="772"/>
    <x v="651"/>
    <x v="10"/>
    <x v="32"/>
    <x v="8"/>
    <x v="5"/>
    <x v="279"/>
    <x v="162"/>
    <x v="23"/>
    <x v="73"/>
    <x v="410"/>
  </r>
  <r>
    <n v="773"/>
    <x v="652"/>
    <x v="3"/>
    <x v="10"/>
    <x v="8"/>
    <x v="32"/>
    <x v="253"/>
    <x v="226"/>
    <x v="66"/>
    <x v="100"/>
    <x v="411"/>
  </r>
  <r>
    <n v="774"/>
    <x v="334"/>
    <x v="3"/>
    <x v="0"/>
    <x v="3"/>
    <x v="16"/>
    <x v="309"/>
    <x v="296"/>
    <x v="159"/>
    <x v="121"/>
    <x v="411"/>
  </r>
  <r>
    <n v="775"/>
    <x v="653"/>
    <x v="0"/>
    <x v="10"/>
    <x v="1"/>
    <x v="0"/>
    <x v="290"/>
    <x v="264"/>
    <x v="184"/>
    <x v="115"/>
    <x v="411"/>
  </r>
  <r>
    <n v="776"/>
    <x v="654"/>
    <x v="13"/>
    <x v="16"/>
    <x v="2"/>
    <x v="1"/>
    <x v="264"/>
    <x v="159"/>
    <x v="72"/>
    <x v="121"/>
    <x v="411"/>
  </r>
  <r>
    <n v="777"/>
    <x v="255"/>
    <x v="2"/>
    <x v="5"/>
    <x v="0"/>
    <x v="0"/>
    <x v="374"/>
    <x v="297"/>
    <x v="158"/>
    <x v="117"/>
    <x v="411"/>
  </r>
  <r>
    <n v="778"/>
    <x v="501"/>
    <x v="5"/>
    <x v="17"/>
    <x v="0"/>
    <x v="2"/>
    <x v="271"/>
    <x v="199"/>
    <x v="72"/>
    <x v="66"/>
    <x v="412"/>
  </r>
  <r>
    <n v="779"/>
    <x v="330"/>
    <x v="5"/>
    <x v="3"/>
    <x v="6"/>
    <x v="2"/>
    <x v="334"/>
    <x v="251"/>
    <x v="59"/>
    <x v="49"/>
    <x v="412"/>
  </r>
  <r>
    <n v="780"/>
    <x v="176"/>
    <x v="11"/>
    <x v="29"/>
    <x v="0"/>
    <x v="4"/>
    <x v="243"/>
    <x v="17"/>
    <x v="59"/>
    <x v="150"/>
    <x v="412"/>
  </r>
  <r>
    <n v="781"/>
    <x v="529"/>
    <x v="5"/>
    <x v="2"/>
    <x v="0"/>
    <x v="14"/>
    <x v="375"/>
    <x v="192"/>
    <x v="168"/>
    <x v="147"/>
    <x v="412"/>
  </r>
  <r>
    <n v="782"/>
    <x v="655"/>
    <x v="6"/>
    <x v="15"/>
    <x v="2"/>
    <x v="7"/>
    <x v="243"/>
    <x v="274"/>
    <x v="66"/>
    <x v="121"/>
    <x v="412"/>
  </r>
  <r>
    <n v="783"/>
    <x v="656"/>
    <x v="0"/>
    <x v="10"/>
    <x v="0"/>
    <x v="0"/>
    <x v="344"/>
    <x v="85"/>
    <x v="210"/>
    <x v="132"/>
    <x v="412"/>
  </r>
  <r>
    <n v="784"/>
    <x v="537"/>
    <x v="0"/>
    <x v="30"/>
    <x v="5"/>
    <x v="31"/>
    <x v="303"/>
    <x v="248"/>
    <x v="59"/>
    <x v="120"/>
    <x v="412"/>
  </r>
  <r>
    <n v="785"/>
    <x v="657"/>
    <x v="6"/>
    <x v="27"/>
    <x v="8"/>
    <x v="48"/>
    <x v="343"/>
    <x v="200"/>
    <x v="188"/>
    <x v="132"/>
    <x v="412"/>
  </r>
  <r>
    <n v="786"/>
    <x v="438"/>
    <x v="4"/>
    <x v="17"/>
    <x v="9"/>
    <x v="19"/>
    <x v="288"/>
    <x v="297"/>
    <x v="59"/>
    <x v="58"/>
    <x v="412"/>
  </r>
  <r>
    <n v="787"/>
    <x v="658"/>
    <x v="12"/>
    <x v="18"/>
    <x v="3"/>
    <x v="9"/>
    <x v="376"/>
    <x v="266"/>
    <x v="141"/>
    <x v="117"/>
    <x v="413"/>
  </r>
  <r>
    <n v="788"/>
    <x v="659"/>
    <x v="6"/>
    <x v="15"/>
    <x v="1"/>
    <x v="28"/>
    <x v="277"/>
    <x v="246"/>
    <x v="59"/>
    <x v="84"/>
    <x v="413"/>
  </r>
  <r>
    <n v="789"/>
    <x v="660"/>
    <x v="13"/>
    <x v="15"/>
    <x v="8"/>
    <x v="1"/>
    <x v="209"/>
    <x v="197"/>
    <x v="60"/>
    <x v="99"/>
    <x v="413"/>
  </r>
  <r>
    <n v="790"/>
    <x v="661"/>
    <x v="16"/>
    <x v="7"/>
    <x v="2"/>
    <x v="7"/>
    <x v="377"/>
    <x v="291"/>
    <x v="66"/>
    <x v="66"/>
    <x v="413"/>
  </r>
  <r>
    <n v="791"/>
    <x v="662"/>
    <x v="4"/>
    <x v="17"/>
    <x v="6"/>
    <x v="49"/>
    <x v="222"/>
    <x v="201"/>
    <x v="63"/>
    <x v="103"/>
    <x v="413"/>
  </r>
  <r>
    <n v="792"/>
    <x v="663"/>
    <x v="6"/>
    <x v="7"/>
    <x v="8"/>
    <x v="12"/>
    <x v="322"/>
    <x v="9"/>
    <x v="130"/>
    <x v="79"/>
    <x v="414"/>
  </r>
  <r>
    <n v="793"/>
    <x v="664"/>
    <x v="12"/>
    <x v="23"/>
    <x v="0"/>
    <x v="50"/>
    <x v="186"/>
    <x v="129"/>
    <x v="190"/>
    <x v="97"/>
    <x v="414"/>
  </r>
  <r>
    <n v="794"/>
    <x v="665"/>
    <x v="4"/>
    <x v="0"/>
    <x v="8"/>
    <x v="12"/>
    <x v="358"/>
    <x v="216"/>
    <x v="36"/>
    <x v="120"/>
    <x v="414"/>
  </r>
  <r>
    <n v="795"/>
    <x v="448"/>
    <x v="6"/>
    <x v="27"/>
    <x v="8"/>
    <x v="28"/>
    <x v="354"/>
    <x v="135"/>
    <x v="72"/>
    <x v="66"/>
    <x v="414"/>
  </r>
  <r>
    <n v="796"/>
    <x v="666"/>
    <x v="4"/>
    <x v="10"/>
    <x v="8"/>
    <x v="2"/>
    <x v="321"/>
    <x v="277"/>
    <x v="63"/>
    <x v="132"/>
    <x v="414"/>
  </r>
  <r>
    <n v="797"/>
    <x v="667"/>
    <x v="0"/>
    <x v="3"/>
    <x v="5"/>
    <x v="51"/>
    <x v="149"/>
    <x v="129"/>
    <x v="59"/>
    <x v="104"/>
    <x v="414"/>
  </r>
  <r>
    <n v="798"/>
    <x v="668"/>
    <x v="3"/>
    <x v="0"/>
    <x v="7"/>
    <x v="7"/>
    <x v="216"/>
    <x v="236"/>
    <x v="59"/>
    <x v="84"/>
    <x v="414"/>
  </r>
  <r>
    <n v="799"/>
    <x v="669"/>
    <x v="10"/>
    <x v="19"/>
    <x v="6"/>
    <x v="7"/>
    <x v="378"/>
    <x v="115"/>
    <x v="50"/>
    <x v="145"/>
    <x v="414"/>
  </r>
  <r>
    <n v="800"/>
    <x v="670"/>
    <x v="16"/>
    <x v="10"/>
    <x v="8"/>
    <x v="14"/>
    <x v="286"/>
    <x v="298"/>
    <x v="195"/>
    <x v="131"/>
    <x v="4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D928B8-8049-4663-BEE4-D4E42C24D0C8}"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1:E2" firstHeaderRow="0" firstDataRow="1" firstDataCol="0"/>
  <pivotFields count="11">
    <pivotField showAll="0"/>
    <pivotField showAll="0"/>
    <pivotField showAll="0">
      <items count="24">
        <item x="15"/>
        <item x="9"/>
        <item x="21"/>
        <item x="3"/>
        <item x="2"/>
        <item x="8"/>
        <item x="18"/>
        <item x="20"/>
        <item x="11"/>
        <item x="1"/>
        <item x="14"/>
        <item x="12"/>
        <item x="6"/>
        <item x="5"/>
        <item x="10"/>
        <item x="16"/>
        <item x="22"/>
        <item x="7"/>
        <item x="0"/>
        <item x="19"/>
        <item x="4"/>
        <item x="13"/>
        <item x="17"/>
        <item t="default"/>
      </items>
    </pivotField>
    <pivotField showAll="0"/>
    <pivotField showAll="0">
      <items count="13">
        <item h="1" x="8"/>
        <item h="1" x="10"/>
        <item h="1" x="9"/>
        <item h="1" x="5"/>
        <item h="1" x="1"/>
        <item h="1" x="4"/>
        <item x="2"/>
        <item h="1" x="3"/>
        <item h="1" x="6"/>
        <item h="1" x="7"/>
        <item h="1" x="0"/>
        <item h="1" x="11"/>
        <item t="default"/>
      </items>
    </pivotField>
    <pivotField showAll="0"/>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Sum of Global_Sales" fld="10" baseField="0" baseItem="0"/>
    <dataField name="Sum of JP_Sales" fld="8" baseField="0" baseItem="0"/>
    <dataField name="Sum of Other_Sales" fld="9" baseField="0" baseItem="0"/>
    <dataField name="Sum of NA_Sales" fld="6" baseField="0" baseItem="0"/>
    <dataField name="Sum of EU_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FA3063-042A-4962-81F7-42F3BBCF457D}" name="PivotTable1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133:B144" firstHeaderRow="1" firstDataRow="1" firstDataCol="1"/>
  <pivotFields count="11">
    <pivotField showAll="0"/>
    <pivotField axis="axisRow" showAll="0" measureFilter="1">
      <items count="672">
        <item x="362"/>
        <item x="457"/>
        <item x="373"/>
        <item x="375"/>
        <item x="194"/>
        <item x="412"/>
        <item x="64"/>
        <item x="37"/>
        <item x="514"/>
        <item x="143"/>
        <item x="141"/>
        <item x="115"/>
        <item x="263"/>
        <item x="353"/>
        <item x="322"/>
        <item x="225"/>
        <item x="260"/>
        <item x="220"/>
        <item x="554"/>
        <item x="630"/>
        <item x="296"/>
        <item x="363"/>
        <item x="224"/>
        <item x="144"/>
        <item x="277"/>
        <item x="563"/>
        <item x="90"/>
        <item x="291"/>
        <item x="326"/>
        <item x="669"/>
        <item x="110"/>
        <item x="275"/>
        <item x="443"/>
        <item x="617"/>
        <item x="568"/>
        <item x="330"/>
        <item x="390"/>
        <item x="26"/>
        <item x="19"/>
        <item x="484"/>
        <item x="488"/>
        <item x="475"/>
        <item x="61"/>
        <item x="84"/>
        <item x="30"/>
        <item x="32"/>
        <item x="33"/>
        <item x="431"/>
        <item x="53"/>
        <item x="34"/>
        <item x="28"/>
        <item x="642"/>
        <item x="89"/>
        <item x="245"/>
        <item x="589"/>
        <item x="374"/>
        <item x="324"/>
        <item x="435"/>
        <item x="441"/>
        <item x="139"/>
        <item x="309"/>
        <item x="425"/>
        <item x="606"/>
        <item x="590"/>
        <item x="105"/>
        <item x="86"/>
        <item x="95"/>
        <item x="150"/>
        <item x="338"/>
        <item x="189"/>
        <item x="523"/>
        <item x="366"/>
        <item x="313"/>
        <item x="369"/>
        <item x="648"/>
        <item x="612"/>
        <item x="228"/>
        <item x="564"/>
        <item x="665"/>
        <item x="520"/>
        <item x="647"/>
        <item x="664"/>
        <item x="140"/>
        <item x="411"/>
        <item x="663"/>
        <item x="618"/>
        <item x="161"/>
        <item x="185"/>
        <item x="555"/>
        <item x="608"/>
        <item x="392"/>
        <item x="156"/>
        <item x="62"/>
        <item x="165"/>
        <item x="321"/>
        <item x="113"/>
        <item x="261"/>
        <item x="576"/>
        <item x="307"/>
        <item x="152"/>
        <item x="515"/>
        <item x="387"/>
        <item x="553"/>
        <item x="405"/>
        <item x="135"/>
        <item x="459"/>
        <item x="368"/>
        <item x="207"/>
        <item x="160"/>
        <item x="526"/>
        <item x="518"/>
        <item x="267"/>
        <item x="384"/>
        <item x="577"/>
        <item x="124"/>
        <item x="191"/>
        <item x="9"/>
        <item x="657"/>
        <item x="259"/>
        <item x="346"/>
        <item x="370"/>
        <item x="396"/>
        <item x="499"/>
        <item x="236"/>
        <item x="231"/>
        <item x="336"/>
        <item x="489"/>
        <item x="221"/>
        <item x="169"/>
        <item x="181"/>
        <item x="98"/>
        <item x="247"/>
        <item x="328"/>
        <item x="253"/>
        <item x="651"/>
        <item x="109"/>
        <item x="101"/>
        <item x="112"/>
        <item x="68"/>
        <item x="190"/>
        <item x="230"/>
        <item x="242"/>
        <item x="379"/>
        <item x="506"/>
        <item x="302"/>
        <item x="174"/>
        <item x="73"/>
        <item x="337"/>
        <item x="325"/>
        <item x="289"/>
        <item x="334"/>
        <item x="154"/>
        <item x="543"/>
        <item x="650"/>
        <item x="542"/>
        <item x="58"/>
        <item x="78"/>
        <item x="77"/>
        <item x="155"/>
        <item x="133"/>
        <item x="151"/>
        <item x="487"/>
        <item x="448"/>
        <item x="271"/>
        <item x="249"/>
        <item x="145"/>
        <item x="196"/>
        <item x="631"/>
        <item x="293"/>
        <item x="237"/>
        <item x="560"/>
        <item x="439"/>
        <item x="525"/>
        <item x="127"/>
        <item x="107"/>
        <item x="126"/>
        <item x="403"/>
        <item x="510"/>
        <item x="209"/>
        <item x="498"/>
        <item x="248"/>
        <item x="187"/>
        <item x="594"/>
        <item x="367"/>
        <item x="75"/>
        <item x="255"/>
        <item x="47"/>
        <item x="356"/>
        <item x="60"/>
        <item x="27"/>
        <item x="42"/>
        <item x="49"/>
        <item x="233"/>
        <item x="299"/>
        <item x="585"/>
        <item x="333"/>
        <item x="35"/>
        <item x="46"/>
        <item x="16"/>
        <item x="81"/>
        <item x="17"/>
        <item x="23"/>
        <item x="173"/>
        <item x="592"/>
        <item x="565"/>
        <item x="171"/>
        <item x="180"/>
        <item x="327"/>
        <item x="298"/>
        <item x="240"/>
        <item x="571"/>
        <item x="70"/>
        <item x="39"/>
        <item x="120"/>
        <item x="57"/>
        <item x="222"/>
        <item x="497"/>
        <item x="116"/>
        <item x="545"/>
        <item x="54"/>
        <item x="378"/>
        <item x="490"/>
        <item x="503"/>
        <item x="285"/>
        <item x="385"/>
        <item x="623"/>
        <item x="417"/>
        <item x="628"/>
        <item x="455"/>
        <item x="430"/>
        <item x="551"/>
        <item x="434"/>
        <item x="451"/>
        <item x="421"/>
        <item x="465"/>
        <item x="300"/>
        <item x="464"/>
        <item x="316"/>
        <item x="586"/>
        <item x="347"/>
        <item x="92"/>
        <item x="59"/>
        <item x="282"/>
        <item x="596"/>
        <item x="52"/>
        <item x="100"/>
        <item x="583"/>
        <item x="364"/>
        <item x="399"/>
        <item x="456"/>
        <item x="509"/>
        <item x="15"/>
        <item x="125"/>
        <item x="574"/>
        <item x="566"/>
        <item x="118"/>
        <item x="219"/>
        <item x="416"/>
        <item x="603"/>
        <item x="168"/>
        <item x="575"/>
        <item x="653"/>
        <item x="627"/>
        <item x="323"/>
        <item x="395"/>
        <item x="359"/>
        <item x="320"/>
        <item x="257"/>
        <item x="339"/>
        <item x="532"/>
        <item x="279"/>
        <item x="591"/>
        <item x="480"/>
        <item x="136"/>
        <item x="317"/>
        <item x="179"/>
        <item x="134"/>
        <item x="332"/>
        <item x="310"/>
        <item x="201"/>
        <item x="184"/>
        <item x="205"/>
        <item x="516"/>
        <item x="521"/>
        <item x="444"/>
        <item x="481"/>
        <item x="479"/>
        <item x="436"/>
        <item x="360"/>
        <item x="388"/>
        <item x="238"/>
        <item x="159"/>
        <item x="203"/>
        <item x="632"/>
        <item x="644"/>
        <item x="274"/>
        <item x="634"/>
        <item x="278"/>
        <item x="76"/>
        <item x="200"/>
        <item x="598"/>
        <item x="55"/>
        <item x="38"/>
        <item x="97"/>
        <item x="11"/>
        <item x="2"/>
        <item x="99"/>
        <item x="148"/>
        <item x="472"/>
        <item x="478"/>
        <item x="530"/>
        <item x="539"/>
        <item x="71"/>
        <item x="349"/>
        <item x="65"/>
        <item x="656"/>
        <item x="500"/>
        <item x="584"/>
        <item x="482"/>
        <item x="528"/>
        <item x="423"/>
        <item x="386"/>
        <item x="394"/>
        <item x="351"/>
        <item x="445"/>
        <item x="492"/>
        <item x="103"/>
        <item x="167"/>
        <item x="131"/>
        <item x="128"/>
        <item x="227"/>
        <item x="130"/>
        <item x="340"/>
        <item x="670"/>
        <item x="474"/>
        <item x="447"/>
        <item x="211"/>
        <item x="170"/>
        <item x="407"/>
        <item x="295"/>
        <item x="541"/>
        <item x="495"/>
        <item x="401"/>
        <item x="63"/>
        <item x="471"/>
        <item x="562"/>
        <item x="329"/>
        <item x="264"/>
        <item x="511"/>
        <item x="186"/>
        <item x="146"/>
        <item x="463"/>
        <item x="357"/>
        <item x="438"/>
        <item x="460"/>
        <item x="477"/>
        <item x="533"/>
        <item x="265"/>
        <item x="580"/>
        <item x="292"/>
        <item x="449"/>
        <item x="226"/>
        <item x="272"/>
        <item x="251"/>
        <item x="258"/>
        <item x="666"/>
        <item x="501"/>
        <item x="404"/>
        <item x="538"/>
        <item x="569"/>
        <item x="269"/>
        <item x="508"/>
        <item x="461"/>
        <item x="561"/>
        <item x="546"/>
        <item x="381"/>
        <item x="93"/>
        <item x="102"/>
        <item x="588"/>
        <item x="450"/>
        <item x="655"/>
        <item x="216"/>
        <item x="661"/>
        <item x="556"/>
        <item x="486"/>
        <item x="613"/>
        <item x="6"/>
        <item x="56"/>
        <item x="162"/>
        <item x="8"/>
        <item x="210"/>
        <item x="10"/>
        <item x="276"/>
        <item x="605"/>
        <item x="476"/>
        <item x="80"/>
        <item x="422"/>
        <item x="496"/>
        <item x="600"/>
        <item x="607"/>
        <item x="658"/>
        <item x="524"/>
        <item x="383"/>
        <item x="529"/>
        <item x="204"/>
        <item x="519"/>
        <item x="119"/>
        <item x="117"/>
        <item x="79"/>
        <item x="473"/>
        <item x="290"/>
        <item x="29"/>
        <item x="72"/>
        <item x="25"/>
        <item x="20"/>
        <item x="51"/>
        <item x="12"/>
        <item x="40"/>
        <item x="182"/>
        <item x="44"/>
        <item x="153"/>
        <item x="633"/>
        <item x="593"/>
        <item x="4"/>
        <item x="24"/>
        <item x="301"/>
        <item x="149"/>
        <item x="31"/>
        <item x="662"/>
        <item x="614"/>
        <item x="303"/>
        <item x="595"/>
        <item x="552"/>
        <item x="624"/>
        <item x="558"/>
        <item x="621"/>
        <item x="157"/>
        <item x="256"/>
        <item x="462"/>
        <item x="344"/>
        <item x="654"/>
        <item x="660"/>
        <item x="535"/>
        <item x="645"/>
        <item x="348"/>
        <item x="507"/>
        <item x="466"/>
        <item x="281"/>
        <item x="513"/>
        <item x="398"/>
        <item x="111"/>
        <item x="175"/>
        <item x="581"/>
        <item x="137"/>
        <item x="287"/>
        <item x="304"/>
        <item x="172"/>
        <item x="377"/>
        <item x="280"/>
        <item x="534"/>
        <item x="217"/>
        <item x="372"/>
        <item x="548"/>
        <item x="537"/>
        <item x="619"/>
        <item x="531"/>
        <item x="318"/>
        <item x="345"/>
        <item x="625"/>
        <item x="397"/>
        <item x="470"/>
        <item x="659"/>
        <item x="615"/>
        <item x="428"/>
        <item x="646"/>
        <item x="483"/>
        <item x="491"/>
        <item x="578"/>
        <item x="442"/>
        <item x="419"/>
        <item x="297"/>
        <item x="609"/>
        <item x="550"/>
        <item x="517"/>
        <item x="469"/>
        <item x="415"/>
        <item x="427"/>
        <item x="376"/>
        <item x="218"/>
        <item x="129"/>
        <item x="622"/>
        <item x="601"/>
        <item x="522"/>
        <item x="380"/>
        <item x="335"/>
        <item x="206"/>
        <item x="202"/>
        <item x="268"/>
        <item x="319"/>
        <item x="178"/>
        <item x="610"/>
        <item x="288"/>
        <item x="408"/>
        <item x="254"/>
        <item x="83"/>
        <item x="382"/>
        <item x="350"/>
        <item x="306"/>
        <item x="311"/>
        <item x="626"/>
        <item x="635"/>
        <item x="494"/>
        <item x="453"/>
        <item x="414"/>
        <item x="188"/>
        <item x="244"/>
        <item x="122"/>
        <item x="234"/>
        <item x="505"/>
        <item x="502"/>
        <item x="48"/>
        <item x="223"/>
        <item x="41"/>
        <item x="147"/>
        <item x="50"/>
        <item x="504"/>
        <item x="1"/>
        <item x="87"/>
        <item x="22"/>
        <item x="493"/>
        <item x="43"/>
        <item x="82"/>
        <item x="67"/>
        <item x="21"/>
        <item x="45"/>
        <item x="163"/>
        <item x="371"/>
        <item x="643"/>
        <item x="121"/>
        <item x="18"/>
        <item x="241"/>
        <item x="602"/>
        <item x="284"/>
        <item x="142"/>
        <item x="36"/>
        <item x="88"/>
        <item x="96"/>
        <item x="433"/>
        <item x="639"/>
        <item x="235"/>
        <item x="611"/>
        <item x="358"/>
        <item x="138"/>
        <item x="94"/>
        <item x="331"/>
        <item x="266"/>
        <item x="467"/>
        <item x="252"/>
        <item x="636"/>
        <item x="5"/>
        <item x="649"/>
        <item x="557"/>
        <item x="437"/>
        <item x="214"/>
        <item x="66"/>
        <item x="314"/>
        <item x="572"/>
        <item x="132"/>
        <item x="114"/>
        <item x="391"/>
        <item x="198"/>
        <item x="273"/>
        <item x="616"/>
        <item x="343"/>
        <item x="582"/>
        <item x="85"/>
        <item x="164"/>
        <item x="243"/>
        <item x="341"/>
        <item x="199"/>
        <item x="91"/>
        <item x="352"/>
        <item x="195"/>
        <item x="192"/>
        <item x="308"/>
        <item x="468"/>
        <item x="668"/>
        <item x="74"/>
        <item x="413"/>
        <item x="547"/>
        <item x="637"/>
        <item x="409"/>
        <item x="283"/>
        <item x="393"/>
        <item x="286"/>
        <item x="559"/>
        <item x="426"/>
        <item x="599"/>
        <item x="640"/>
        <item x="549"/>
        <item x="400"/>
        <item x="305"/>
        <item x="197"/>
        <item x="527"/>
        <item x="158"/>
        <item x="315"/>
        <item x="536"/>
        <item x="166"/>
        <item x="176"/>
        <item x="193"/>
        <item x="212"/>
        <item x="294"/>
        <item x="262"/>
        <item x="573"/>
        <item x="652"/>
        <item x="354"/>
        <item x="544"/>
        <item x="540"/>
        <item x="108"/>
        <item x="104"/>
        <item x="232"/>
        <item x="183"/>
        <item x="208"/>
        <item x="641"/>
        <item x="229"/>
        <item x="620"/>
        <item x="604"/>
        <item x="587"/>
        <item x="424"/>
        <item x="177"/>
        <item x="239"/>
        <item x="418"/>
        <item x="567"/>
        <item x="13"/>
        <item x="14"/>
        <item x="355"/>
        <item x="69"/>
        <item x="7"/>
        <item x="0"/>
        <item x="3"/>
        <item x="213"/>
        <item x="667"/>
        <item x="389"/>
        <item x="123"/>
        <item x="246"/>
        <item x="410"/>
        <item x="429"/>
        <item x="270"/>
        <item x="250"/>
        <item x="579"/>
        <item x="406"/>
        <item x="512"/>
        <item x="452"/>
        <item x="402"/>
        <item x="446"/>
        <item x="420"/>
        <item x="312"/>
        <item x="365"/>
        <item x="458"/>
        <item x="342"/>
        <item x="361"/>
        <item x="485"/>
        <item x="597"/>
        <item x="454"/>
        <item x="440"/>
        <item x="638"/>
        <item x="570"/>
        <item x="629"/>
        <item x="215"/>
        <item x="106"/>
        <item x="432"/>
        <item t="default"/>
      </items>
    </pivotField>
    <pivotField showAll="0">
      <items count="24">
        <item x="15"/>
        <item x="9"/>
        <item x="21"/>
        <item x="3"/>
        <item x="2"/>
        <item x="8"/>
        <item x="18"/>
        <item x="20"/>
        <item x="11"/>
        <item x="1"/>
        <item x="14"/>
        <item x="12"/>
        <item x="6"/>
        <item x="5"/>
        <item x="10"/>
        <item x="16"/>
        <item x="22"/>
        <item x="7"/>
        <item x="0"/>
        <item x="19"/>
        <item x="4"/>
        <item x="13"/>
        <item x="17"/>
        <item t="default"/>
      </items>
    </pivotField>
    <pivotField showAll="0"/>
    <pivotField showAll="0">
      <items count="13">
        <item h="1" x="8"/>
        <item h="1" x="10"/>
        <item h="1" x="9"/>
        <item h="1" x="5"/>
        <item h="1" x="1"/>
        <item h="1" x="4"/>
        <item x="2"/>
        <item h="1" x="3"/>
        <item h="1" x="6"/>
        <item h="1" x="7"/>
        <item h="1" x="0"/>
        <item h="1" x="11"/>
        <item t="default"/>
      </items>
    </pivotField>
    <pivotField showAll="0"/>
    <pivotField showAll="0"/>
    <pivotField showAll="0"/>
    <pivotField showAll="0"/>
    <pivotField showAll="0"/>
    <pivotField dataField="1" showAll="0"/>
  </pivotFields>
  <rowFields count="1">
    <field x="1"/>
  </rowFields>
  <rowItems count="11">
    <i>
      <x v="186"/>
    </i>
    <i>
      <x v="188"/>
    </i>
    <i>
      <x v="189"/>
    </i>
    <i>
      <x v="190"/>
    </i>
    <i>
      <x v="191"/>
    </i>
    <i>
      <x v="301"/>
    </i>
    <i>
      <x v="302"/>
    </i>
    <i>
      <x v="304"/>
    </i>
    <i>
      <x v="305"/>
    </i>
    <i>
      <x v="377"/>
    </i>
    <i t="grand">
      <x/>
    </i>
  </rowItems>
  <colItems count="1">
    <i/>
  </colItems>
  <dataFields count="1">
    <dataField name="Sum of Global_Sales" fld="10"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420CE2-15D5-4384-913A-271ED29E49DA}" name="PivotTable1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5">
  <location ref="A115:B126" firstHeaderRow="1" firstDataRow="1" firstDataCol="1"/>
  <pivotFields count="11">
    <pivotField showAll="0"/>
    <pivotField axis="axisRow" showAll="0" measureFilter="1">
      <items count="672">
        <item x="362"/>
        <item x="457"/>
        <item x="373"/>
        <item x="194"/>
        <item x="412"/>
        <item x="64"/>
        <item x="37"/>
        <item x="375"/>
        <item x="514"/>
        <item x="143"/>
        <item x="141"/>
        <item x="115"/>
        <item x="263"/>
        <item x="353"/>
        <item x="322"/>
        <item x="225"/>
        <item x="260"/>
        <item x="220"/>
        <item x="554"/>
        <item x="630"/>
        <item x="296"/>
        <item x="363"/>
        <item x="224"/>
        <item x="144"/>
        <item x="277"/>
        <item x="563"/>
        <item x="90"/>
        <item x="291"/>
        <item x="326"/>
        <item x="669"/>
        <item x="110"/>
        <item x="275"/>
        <item x="443"/>
        <item x="617"/>
        <item x="568"/>
        <item x="330"/>
        <item x="390"/>
        <item n="Brain Age 2" x="26"/>
        <item x="19"/>
        <item x="484"/>
        <item x="488"/>
        <item x="475"/>
        <item x="61"/>
        <item x="84"/>
        <item x="30"/>
        <item x="32"/>
        <item x="33"/>
        <item x="431"/>
        <item x="53"/>
        <item x="34"/>
        <item x="28"/>
        <item x="642"/>
        <item x="89"/>
        <item x="245"/>
        <item x="589"/>
        <item x="374"/>
        <item x="324"/>
        <item x="435"/>
        <item x="441"/>
        <item x="139"/>
        <item x="309"/>
        <item x="425"/>
        <item x="606"/>
        <item x="590"/>
        <item x="105"/>
        <item x="86"/>
        <item x="95"/>
        <item x="150"/>
        <item x="338"/>
        <item x="189"/>
        <item x="523"/>
        <item x="366"/>
        <item x="313"/>
        <item x="369"/>
        <item x="648"/>
        <item x="612"/>
        <item x="228"/>
        <item x="564"/>
        <item x="665"/>
        <item x="520"/>
        <item x="647"/>
        <item x="664"/>
        <item x="140"/>
        <item x="411"/>
        <item x="663"/>
        <item x="618"/>
        <item x="161"/>
        <item x="185"/>
        <item x="555"/>
        <item x="608"/>
        <item x="392"/>
        <item x="156"/>
        <item x="62"/>
        <item x="165"/>
        <item x="321"/>
        <item x="113"/>
        <item x="261"/>
        <item x="576"/>
        <item x="307"/>
        <item x="152"/>
        <item x="515"/>
        <item x="387"/>
        <item x="553"/>
        <item x="405"/>
        <item x="135"/>
        <item x="459"/>
        <item x="368"/>
        <item x="207"/>
        <item x="160"/>
        <item x="526"/>
        <item x="518"/>
        <item x="267"/>
        <item x="384"/>
        <item x="577"/>
        <item x="124"/>
        <item x="191"/>
        <item x="9"/>
        <item x="657"/>
        <item x="259"/>
        <item x="346"/>
        <item x="370"/>
        <item x="396"/>
        <item x="499"/>
        <item x="236"/>
        <item x="231"/>
        <item x="336"/>
        <item x="489"/>
        <item x="221"/>
        <item x="169"/>
        <item x="181"/>
        <item x="98"/>
        <item x="247"/>
        <item x="328"/>
        <item x="253"/>
        <item x="651"/>
        <item x="109"/>
        <item x="101"/>
        <item x="112"/>
        <item x="68"/>
        <item x="190"/>
        <item x="230"/>
        <item x="242"/>
        <item x="379"/>
        <item x="506"/>
        <item x="302"/>
        <item x="174"/>
        <item x="73"/>
        <item x="337"/>
        <item x="325"/>
        <item x="289"/>
        <item x="334"/>
        <item x="154"/>
        <item x="543"/>
        <item x="650"/>
        <item x="542"/>
        <item x="58"/>
        <item x="78"/>
        <item x="77"/>
        <item x="155"/>
        <item x="133"/>
        <item x="151"/>
        <item x="487"/>
        <item x="448"/>
        <item x="271"/>
        <item x="249"/>
        <item x="145"/>
        <item x="196"/>
        <item x="631"/>
        <item x="293"/>
        <item x="237"/>
        <item x="560"/>
        <item x="439"/>
        <item x="525"/>
        <item x="127"/>
        <item x="107"/>
        <item x="126"/>
        <item x="403"/>
        <item x="510"/>
        <item x="209"/>
        <item x="498"/>
        <item x="248"/>
        <item x="187"/>
        <item x="594"/>
        <item x="367"/>
        <item x="75"/>
        <item x="255"/>
        <item x="47"/>
        <item x="356"/>
        <item x="60"/>
        <item x="27"/>
        <item x="42"/>
        <item x="49"/>
        <item x="233"/>
        <item x="299"/>
        <item x="585"/>
        <item x="333"/>
        <item x="35"/>
        <item x="46"/>
        <item x="16"/>
        <item x="81"/>
        <item x="17"/>
        <item x="23"/>
        <item x="173"/>
        <item x="592"/>
        <item x="565"/>
        <item x="171"/>
        <item x="180"/>
        <item x="327"/>
        <item x="298"/>
        <item x="240"/>
        <item x="571"/>
        <item x="70"/>
        <item x="39"/>
        <item x="120"/>
        <item x="57"/>
        <item x="222"/>
        <item x="497"/>
        <item x="116"/>
        <item x="545"/>
        <item x="54"/>
        <item x="378"/>
        <item x="490"/>
        <item x="503"/>
        <item x="285"/>
        <item x="385"/>
        <item x="623"/>
        <item x="417"/>
        <item x="628"/>
        <item x="455"/>
        <item x="430"/>
        <item x="551"/>
        <item x="434"/>
        <item x="451"/>
        <item x="421"/>
        <item x="465"/>
        <item x="300"/>
        <item x="464"/>
        <item x="316"/>
        <item x="586"/>
        <item x="347"/>
        <item x="92"/>
        <item x="59"/>
        <item x="282"/>
        <item x="596"/>
        <item x="52"/>
        <item x="100"/>
        <item x="583"/>
        <item x="364"/>
        <item x="399"/>
        <item x="456"/>
        <item x="509"/>
        <item x="15"/>
        <item x="125"/>
        <item x="574"/>
        <item x="566"/>
        <item x="118"/>
        <item x="219"/>
        <item x="416"/>
        <item x="603"/>
        <item x="168"/>
        <item x="575"/>
        <item x="653"/>
        <item x="627"/>
        <item x="323"/>
        <item x="395"/>
        <item x="359"/>
        <item x="320"/>
        <item x="257"/>
        <item x="339"/>
        <item x="532"/>
        <item x="279"/>
        <item x="591"/>
        <item x="480"/>
        <item x="136"/>
        <item x="317"/>
        <item x="179"/>
        <item x="134"/>
        <item x="332"/>
        <item x="310"/>
        <item x="201"/>
        <item x="184"/>
        <item x="205"/>
        <item x="516"/>
        <item x="521"/>
        <item x="444"/>
        <item x="481"/>
        <item x="479"/>
        <item x="436"/>
        <item x="360"/>
        <item x="388"/>
        <item x="238"/>
        <item x="159"/>
        <item x="203"/>
        <item x="632"/>
        <item x="644"/>
        <item x="274"/>
        <item x="634"/>
        <item x="278"/>
        <item x="76"/>
        <item x="200"/>
        <item x="598"/>
        <item x="55"/>
        <item x="38"/>
        <item x="97"/>
        <item x="11"/>
        <item x="2"/>
        <item x="99"/>
        <item x="148"/>
        <item x="472"/>
        <item x="478"/>
        <item x="530"/>
        <item x="539"/>
        <item x="71"/>
        <item x="349"/>
        <item x="65"/>
        <item x="656"/>
        <item x="500"/>
        <item x="584"/>
        <item x="482"/>
        <item x="528"/>
        <item x="423"/>
        <item x="386"/>
        <item x="394"/>
        <item x="351"/>
        <item x="445"/>
        <item x="492"/>
        <item x="103"/>
        <item x="167"/>
        <item x="131"/>
        <item x="128"/>
        <item x="227"/>
        <item x="130"/>
        <item x="340"/>
        <item x="670"/>
        <item x="474"/>
        <item x="447"/>
        <item x="211"/>
        <item x="170"/>
        <item x="407"/>
        <item x="295"/>
        <item x="541"/>
        <item x="495"/>
        <item x="401"/>
        <item x="63"/>
        <item x="471"/>
        <item x="562"/>
        <item x="329"/>
        <item x="264"/>
        <item x="511"/>
        <item x="186"/>
        <item x="146"/>
        <item x="463"/>
        <item x="357"/>
        <item x="438"/>
        <item x="460"/>
        <item x="477"/>
        <item x="533"/>
        <item x="265"/>
        <item x="580"/>
        <item x="292"/>
        <item x="449"/>
        <item x="226"/>
        <item x="272"/>
        <item x="251"/>
        <item x="258"/>
        <item x="666"/>
        <item x="501"/>
        <item x="404"/>
        <item x="538"/>
        <item x="569"/>
        <item x="269"/>
        <item x="508"/>
        <item x="461"/>
        <item x="561"/>
        <item x="546"/>
        <item x="381"/>
        <item x="93"/>
        <item x="102"/>
        <item x="588"/>
        <item x="450"/>
        <item x="655"/>
        <item x="216"/>
        <item x="661"/>
        <item x="556"/>
        <item x="486"/>
        <item x="613"/>
        <item x="6"/>
        <item x="56"/>
        <item x="162"/>
        <item x="8"/>
        <item x="210"/>
        <item x="10"/>
        <item x="276"/>
        <item x="605"/>
        <item x="476"/>
        <item x="80"/>
        <item x="422"/>
        <item x="496"/>
        <item x="600"/>
        <item x="607"/>
        <item x="658"/>
        <item x="524"/>
        <item x="383"/>
        <item x="529"/>
        <item x="204"/>
        <item x="519"/>
        <item x="119"/>
        <item x="117"/>
        <item x="79"/>
        <item x="473"/>
        <item x="290"/>
        <item x="29"/>
        <item x="72"/>
        <item n="Pokemon Black/ White" x="25"/>
        <item n="Pokemon Diamond/Pearl" x="20"/>
        <item x="51"/>
        <item n="Pokemon Gold/Silver" x="12"/>
        <item x="40"/>
        <item x="182"/>
        <item x="44"/>
        <item x="153"/>
        <item x="633"/>
        <item x="593"/>
        <item n="Pokemon Red/ Blue" x="4"/>
        <item n="Pokemon Ruby" x="24"/>
        <item x="301"/>
        <item x="149"/>
        <item x="31"/>
        <item x="662"/>
        <item x="614"/>
        <item x="303"/>
        <item x="595"/>
        <item x="552"/>
        <item x="624"/>
        <item x="558"/>
        <item x="621"/>
        <item x="157"/>
        <item x="256"/>
        <item x="462"/>
        <item x="344"/>
        <item x="654"/>
        <item x="660"/>
        <item x="535"/>
        <item x="645"/>
        <item x="348"/>
        <item x="507"/>
        <item x="466"/>
        <item x="281"/>
        <item x="513"/>
        <item x="398"/>
        <item x="111"/>
        <item x="175"/>
        <item x="581"/>
        <item x="137"/>
        <item x="287"/>
        <item x="304"/>
        <item x="172"/>
        <item x="377"/>
        <item x="280"/>
        <item x="534"/>
        <item x="217"/>
        <item x="372"/>
        <item x="548"/>
        <item x="537"/>
        <item x="619"/>
        <item x="531"/>
        <item x="318"/>
        <item x="345"/>
        <item x="625"/>
        <item x="397"/>
        <item x="470"/>
        <item x="659"/>
        <item x="615"/>
        <item x="428"/>
        <item x="646"/>
        <item x="483"/>
        <item x="491"/>
        <item x="578"/>
        <item x="442"/>
        <item x="419"/>
        <item x="297"/>
        <item x="609"/>
        <item x="550"/>
        <item x="517"/>
        <item x="469"/>
        <item x="415"/>
        <item x="427"/>
        <item x="376"/>
        <item x="218"/>
        <item x="129"/>
        <item x="622"/>
        <item x="601"/>
        <item x="522"/>
        <item x="380"/>
        <item x="335"/>
        <item x="206"/>
        <item x="202"/>
        <item x="268"/>
        <item x="319"/>
        <item x="178"/>
        <item x="610"/>
        <item x="288"/>
        <item x="408"/>
        <item x="254"/>
        <item x="83"/>
        <item x="382"/>
        <item x="350"/>
        <item x="306"/>
        <item x="311"/>
        <item x="626"/>
        <item x="635"/>
        <item x="494"/>
        <item x="453"/>
        <item x="414"/>
        <item x="188"/>
        <item x="244"/>
        <item x="122"/>
        <item x="234"/>
        <item x="505"/>
        <item x="502"/>
        <item x="48"/>
        <item x="223"/>
        <item x="41"/>
        <item x="147"/>
        <item x="50"/>
        <item x="504"/>
        <item x="1"/>
        <item x="87"/>
        <item x="22"/>
        <item x="493"/>
        <item x="43"/>
        <item x="82"/>
        <item x="67"/>
        <item x="21"/>
        <item x="45"/>
        <item x="163"/>
        <item x="371"/>
        <item x="643"/>
        <item x="121"/>
        <item x="18"/>
        <item x="241"/>
        <item x="602"/>
        <item x="284"/>
        <item x="142"/>
        <item x="36"/>
        <item x="88"/>
        <item x="96"/>
        <item x="433"/>
        <item x="639"/>
        <item x="235"/>
        <item x="611"/>
        <item x="358"/>
        <item x="138"/>
        <item x="94"/>
        <item x="331"/>
        <item x="266"/>
        <item x="467"/>
        <item x="252"/>
        <item x="636"/>
        <item x="5"/>
        <item x="649"/>
        <item x="557"/>
        <item x="437"/>
        <item x="214"/>
        <item x="66"/>
        <item x="314"/>
        <item x="572"/>
        <item x="132"/>
        <item x="114"/>
        <item x="391"/>
        <item x="198"/>
        <item x="273"/>
        <item x="616"/>
        <item x="343"/>
        <item x="582"/>
        <item x="85"/>
        <item x="164"/>
        <item x="243"/>
        <item x="341"/>
        <item x="199"/>
        <item x="91"/>
        <item x="352"/>
        <item x="195"/>
        <item x="192"/>
        <item x="308"/>
        <item x="468"/>
        <item x="668"/>
        <item x="74"/>
        <item x="413"/>
        <item x="547"/>
        <item x="637"/>
        <item x="409"/>
        <item x="283"/>
        <item x="393"/>
        <item x="286"/>
        <item x="559"/>
        <item x="426"/>
        <item x="599"/>
        <item x="640"/>
        <item x="549"/>
        <item x="400"/>
        <item x="305"/>
        <item x="197"/>
        <item x="527"/>
        <item x="158"/>
        <item x="315"/>
        <item x="536"/>
        <item x="166"/>
        <item x="176"/>
        <item x="193"/>
        <item x="212"/>
        <item x="294"/>
        <item x="262"/>
        <item x="573"/>
        <item x="652"/>
        <item x="354"/>
        <item x="544"/>
        <item x="540"/>
        <item x="108"/>
        <item x="104"/>
        <item x="232"/>
        <item x="183"/>
        <item x="208"/>
        <item x="641"/>
        <item x="229"/>
        <item x="620"/>
        <item x="604"/>
        <item x="587"/>
        <item x="424"/>
        <item x="177"/>
        <item x="239"/>
        <item x="418"/>
        <item x="567"/>
        <item x="13"/>
        <item x="14"/>
        <item x="355"/>
        <item x="69"/>
        <item x="7"/>
        <item x="0"/>
        <item x="3"/>
        <item x="213"/>
        <item x="667"/>
        <item x="389"/>
        <item x="123"/>
        <item x="246"/>
        <item x="410"/>
        <item x="429"/>
        <item x="270"/>
        <item x="250"/>
        <item x="579"/>
        <item x="406"/>
        <item x="512"/>
        <item x="452"/>
        <item x="402"/>
        <item x="446"/>
        <item x="420"/>
        <item x="312"/>
        <item x="365"/>
        <item x="458"/>
        <item x="342"/>
        <item x="361"/>
        <item x="485"/>
        <item x="597"/>
        <item x="454"/>
        <item x="440"/>
        <item x="638"/>
        <item x="570"/>
        <item x="629"/>
        <item x="215"/>
        <item x="106"/>
        <item x="432"/>
        <item t="default"/>
      </items>
    </pivotField>
    <pivotField showAll="0">
      <items count="24">
        <item x="15"/>
        <item x="9"/>
        <item x="21"/>
        <item x="3"/>
        <item x="2"/>
        <item x="8"/>
        <item x="18"/>
        <item x="20"/>
        <item x="11"/>
        <item x="1"/>
        <item x="14"/>
        <item x="12"/>
        <item x="6"/>
        <item x="5"/>
        <item x="10"/>
        <item x="16"/>
        <item x="22"/>
        <item x="7"/>
        <item x="0"/>
        <item x="19"/>
        <item x="4"/>
        <item x="13"/>
        <item x="17"/>
        <item t="default"/>
      </items>
    </pivotField>
    <pivotField showAll="0"/>
    <pivotField showAll="0">
      <items count="13">
        <item h="1" x="8"/>
        <item h="1" x="10"/>
        <item h="1" x="9"/>
        <item h="1" x="5"/>
        <item h="1" x="1"/>
        <item h="1" x="4"/>
        <item x="2"/>
        <item h="1" x="3"/>
        <item h="1" x="6"/>
        <item h="1" x="7"/>
        <item h="1" x="0"/>
        <item h="1" x="11"/>
        <item t="default"/>
      </items>
    </pivotField>
    <pivotField showAll="0"/>
    <pivotField showAll="0"/>
    <pivotField showAll="0"/>
    <pivotField dataField="1" showAll="0"/>
    <pivotField showAll="0"/>
    <pivotField showAll="0"/>
  </pivotFields>
  <rowFields count="1">
    <field x="1"/>
  </rowFields>
  <rowItems count="11">
    <i>
      <x v="123"/>
    </i>
    <i>
      <x v="186"/>
    </i>
    <i>
      <x v="188"/>
    </i>
    <i>
      <x v="189"/>
    </i>
    <i>
      <x v="301"/>
    </i>
    <i>
      <x v="302"/>
    </i>
    <i>
      <x v="303"/>
    </i>
    <i>
      <x v="304"/>
    </i>
    <i>
      <x v="305"/>
    </i>
    <i>
      <x v="532"/>
    </i>
    <i t="grand">
      <x/>
    </i>
  </rowItems>
  <colItems count="1">
    <i/>
  </colItems>
  <dataFields count="1">
    <dataField name="Sum of JP_Sales" fld="8" baseField="0" baseItem="0"/>
  </dataFields>
  <chartFormats count="2">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96FB87-AD16-4C21-B2CE-F36B719F7F1F}" name="PivotTable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4">
  <location ref="A97:B108" firstHeaderRow="1" firstDataRow="1" firstDataCol="1"/>
  <pivotFields count="11">
    <pivotField showAll="0"/>
    <pivotField axis="axisRow" showAll="0" measureFilter="1">
      <items count="672">
        <item x="362"/>
        <item x="457"/>
        <item x="373"/>
        <item x="375"/>
        <item x="194"/>
        <item x="412"/>
        <item x="64"/>
        <item x="37"/>
        <item x="514"/>
        <item x="143"/>
        <item x="141"/>
        <item x="115"/>
        <item x="263"/>
        <item x="353"/>
        <item x="322"/>
        <item x="225"/>
        <item x="260"/>
        <item x="220"/>
        <item x="554"/>
        <item x="630"/>
        <item x="296"/>
        <item x="363"/>
        <item x="224"/>
        <item x="144"/>
        <item x="277"/>
        <item x="563"/>
        <item x="90"/>
        <item x="291"/>
        <item x="326"/>
        <item x="669"/>
        <item x="110"/>
        <item x="275"/>
        <item x="443"/>
        <item x="617"/>
        <item x="568"/>
        <item x="330"/>
        <item x="390"/>
        <item x="26"/>
        <item n="Brain Age" x="19"/>
        <item x="484"/>
        <item x="488"/>
        <item x="475"/>
        <item x="61"/>
        <item x="84"/>
        <item x="30"/>
        <item x="32"/>
        <item x="33"/>
        <item x="431"/>
        <item x="53"/>
        <item x="34"/>
        <item x="28"/>
        <item x="642"/>
        <item x="89"/>
        <item x="245"/>
        <item x="589"/>
        <item x="374"/>
        <item x="324"/>
        <item x="435"/>
        <item x="441"/>
        <item x="139"/>
        <item x="309"/>
        <item x="425"/>
        <item x="606"/>
        <item x="590"/>
        <item x="105"/>
        <item x="86"/>
        <item x="95"/>
        <item x="150"/>
        <item x="338"/>
        <item x="189"/>
        <item x="523"/>
        <item x="366"/>
        <item x="313"/>
        <item x="369"/>
        <item x="648"/>
        <item x="612"/>
        <item x="228"/>
        <item x="564"/>
        <item x="665"/>
        <item x="520"/>
        <item x="647"/>
        <item x="664"/>
        <item x="140"/>
        <item x="411"/>
        <item x="663"/>
        <item x="618"/>
        <item x="161"/>
        <item x="185"/>
        <item x="555"/>
        <item x="608"/>
        <item x="392"/>
        <item x="156"/>
        <item x="62"/>
        <item x="165"/>
        <item x="321"/>
        <item x="113"/>
        <item x="261"/>
        <item x="576"/>
        <item x="307"/>
        <item x="152"/>
        <item x="515"/>
        <item x="387"/>
        <item x="553"/>
        <item x="405"/>
        <item x="135"/>
        <item x="459"/>
        <item x="368"/>
        <item x="207"/>
        <item x="160"/>
        <item x="526"/>
        <item x="518"/>
        <item x="267"/>
        <item x="384"/>
        <item x="577"/>
        <item x="124"/>
        <item x="191"/>
        <item x="9"/>
        <item x="657"/>
        <item x="259"/>
        <item x="346"/>
        <item x="370"/>
        <item x="396"/>
        <item x="499"/>
        <item x="236"/>
        <item x="231"/>
        <item x="336"/>
        <item x="489"/>
        <item x="221"/>
        <item x="169"/>
        <item x="181"/>
        <item x="98"/>
        <item x="247"/>
        <item x="328"/>
        <item x="253"/>
        <item x="651"/>
        <item x="109"/>
        <item x="101"/>
        <item x="112"/>
        <item x="68"/>
        <item x="190"/>
        <item x="230"/>
        <item x="242"/>
        <item x="379"/>
        <item x="506"/>
        <item x="302"/>
        <item x="174"/>
        <item x="73"/>
        <item x="337"/>
        <item x="325"/>
        <item x="289"/>
        <item x="334"/>
        <item x="154"/>
        <item x="543"/>
        <item x="650"/>
        <item x="542"/>
        <item x="58"/>
        <item x="78"/>
        <item x="77"/>
        <item x="155"/>
        <item x="133"/>
        <item x="151"/>
        <item x="487"/>
        <item x="448"/>
        <item x="271"/>
        <item x="249"/>
        <item x="145"/>
        <item x="196"/>
        <item x="631"/>
        <item x="293"/>
        <item x="237"/>
        <item x="560"/>
        <item x="439"/>
        <item x="525"/>
        <item x="127"/>
        <item x="107"/>
        <item x="126"/>
        <item x="403"/>
        <item x="510"/>
        <item x="209"/>
        <item x="498"/>
        <item x="248"/>
        <item x="187"/>
        <item x="594"/>
        <item x="367"/>
        <item x="75"/>
        <item x="255"/>
        <item x="47"/>
        <item x="356"/>
        <item x="60"/>
        <item x="27"/>
        <item x="42"/>
        <item x="49"/>
        <item x="233"/>
        <item x="299"/>
        <item x="585"/>
        <item x="333"/>
        <item x="35"/>
        <item x="46"/>
        <item x="16"/>
        <item x="81"/>
        <item x="17"/>
        <item x="23"/>
        <item x="173"/>
        <item x="592"/>
        <item x="565"/>
        <item x="171"/>
        <item x="180"/>
        <item x="327"/>
        <item x="298"/>
        <item x="240"/>
        <item x="571"/>
        <item x="70"/>
        <item x="39"/>
        <item x="120"/>
        <item x="57"/>
        <item x="222"/>
        <item x="497"/>
        <item x="116"/>
        <item x="545"/>
        <item x="54"/>
        <item x="378"/>
        <item x="490"/>
        <item x="503"/>
        <item x="285"/>
        <item x="385"/>
        <item x="623"/>
        <item x="417"/>
        <item x="628"/>
        <item x="455"/>
        <item x="430"/>
        <item x="551"/>
        <item x="434"/>
        <item x="451"/>
        <item x="421"/>
        <item x="465"/>
        <item x="300"/>
        <item x="464"/>
        <item x="316"/>
        <item x="586"/>
        <item x="347"/>
        <item x="92"/>
        <item x="59"/>
        <item x="282"/>
        <item x="596"/>
        <item x="52"/>
        <item x="100"/>
        <item x="583"/>
        <item x="364"/>
        <item x="399"/>
        <item x="456"/>
        <item x="509"/>
        <item x="15"/>
        <item x="125"/>
        <item x="574"/>
        <item x="566"/>
        <item x="118"/>
        <item x="219"/>
        <item x="416"/>
        <item x="603"/>
        <item x="168"/>
        <item x="575"/>
        <item x="653"/>
        <item x="627"/>
        <item x="323"/>
        <item x="395"/>
        <item x="359"/>
        <item x="320"/>
        <item x="257"/>
        <item x="339"/>
        <item x="532"/>
        <item x="279"/>
        <item x="591"/>
        <item x="480"/>
        <item x="136"/>
        <item x="317"/>
        <item x="179"/>
        <item x="134"/>
        <item x="332"/>
        <item x="310"/>
        <item x="201"/>
        <item x="184"/>
        <item x="205"/>
        <item x="516"/>
        <item x="521"/>
        <item x="444"/>
        <item x="481"/>
        <item x="479"/>
        <item x="436"/>
        <item x="360"/>
        <item x="388"/>
        <item x="238"/>
        <item x="159"/>
        <item x="203"/>
        <item x="632"/>
        <item x="644"/>
        <item x="274"/>
        <item x="634"/>
        <item x="278"/>
        <item x="76"/>
        <item x="200"/>
        <item x="598"/>
        <item x="55"/>
        <item x="38"/>
        <item x="97"/>
        <item x="11"/>
        <item x="2"/>
        <item x="99"/>
        <item x="148"/>
        <item x="472"/>
        <item x="478"/>
        <item x="530"/>
        <item x="539"/>
        <item x="71"/>
        <item x="349"/>
        <item x="65"/>
        <item x="656"/>
        <item x="500"/>
        <item x="584"/>
        <item x="482"/>
        <item x="528"/>
        <item x="423"/>
        <item x="386"/>
        <item x="394"/>
        <item x="351"/>
        <item x="445"/>
        <item x="492"/>
        <item x="103"/>
        <item x="167"/>
        <item x="131"/>
        <item x="128"/>
        <item x="227"/>
        <item x="130"/>
        <item x="340"/>
        <item x="670"/>
        <item x="474"/>
        <item x="447"/>
        <item x="211"/>
        <item x="170"/>
        <item x="407"/>
        <item x="295"/>
        <item x="541"/>
        <item x="495"/>
        <item x="401"/>
        <item x="63"/>
        <item x="471"/>
        <item x="562"/>
        <item x="329"/>
        <item x="264"/>
        <item x="511"/>
        <item x="186"/>
        <item x="146"/>
        <item x="463"/>
        <item x="357"/>
        <item x="438"/>
        <item x="460"/>
        <item x="477"/>
        <item x="533"/>
        <item x="265"/>
        <item x="580"/>
        <item x="292"/>
        <item x="449"/>
        <item x="226"/>
        <item x="272"/>
        <item x="251"/>
        <item x="258"/>
        <item x="666"/>
        <item x="501"/>
        <item x="404"/>
        <item x="538"/>
        <item x="569"/>
        <item x="269"/>
        <item x="508"/>
        <item x="461"/>
        <item x="561"/>
        <item x="546"/>
        <item x="381"/>
        <item x="93"/>
        <item x="102"/>
        <item x="588"/>
        <item x="450"/>
        <item x="655"/>
        <item x="216"/>
        <item x="661"/>
        <item x="556"/>
        <item x="486"/>
        <item x="613"/>
        <item x="6"/>
        <item x="56"/>
        <item x="162"/>
        <item x="8"/>
        <item x="210"/>
        <item x="10"/>
        <item x="276"/>
        <item x="605"/>
        <item x="476"/>
        <item x="80"/>
        <item x="422"/>
        <item x="496"/>
        <item x="600"/>
        <item x="607"/>
        <item x="658"/>
        <item x="524"/>
        <item x="383"/>
        <item x="529"/>
        <item x="204"/>
        <item x="519"/>
        <item x="119"/>
        <item x="117"/>
        <item x="79"/>
        <item x="473"/>
        <item x="290"/>
        <item x="29"/>
        <item x="72"/>
        <item x="25"/>
        <item x="20"/>
        <item x="51"/>
        <item x="12"/>
        <item x="40"/>
        <item x="182"/>
        <item x="44"/>
        <item x="153"/>
        <item x="633"/>
        <item x="593"/>
        <item x="4"/>
        <item x="24"/>
        <item x="301"/>
        <item x="149"/>
        <item x="31"/>
        <item x="662"/>
        <item x="614"/>
        <item x="303"/>
        <item x="595"/>
        <item x="552"/>
        <item x="624"/>
        <item x="558"/>
        <item x="621"/>
        <item x="157"/>
        <item x="256"/>
        <item x="462"/>
        <item x="344"/>
        <item x="654"/>
        <item x="660"/>
        <item x="535"/>
        <item x="645"/>
        <item x="348"/>
        <item x="507"/>
        <item x="466"/>
        <item x="281"/>
        <item x="513"/>
        <item x="398"/>
        <item x="111"/>
        <item x="175"/>
        <item x="581"/>
        <item x="137"/>
        <item x="287"/>
        <item x="304"/>
        <item x="172"/>
        <item x="377"/>
        <item x="280"/>
        <item x="534"/>
        <item x="217"/>
        <item x="372"/>
        <item x="548"/>
        <item x="537"/>
        <item x="619"/>
        <item x="531"/>
        <item x="318"/>
        <item x="345"/>
        <item x="625"/>
        <item x="397"/>
        <item x="470"/>
        <item x="659"/>
        <item x="615"/>
        <item x="428"/>
        <item x="646"/>
        <item x="483"/>
        <item x="491"/>
        <item x="578"/>
        <item x="442"/>
        <item x="419"/>
        <item x="297"/>
        <item x="609"/>
        <item x="550"/>
        <item x="517"/>
        <item x="469"/>
        <item x="415"/>
        <item x="427"/>
        <item x="376"/>
        <item x="218"/>
        <item x="129"/>
        <item x="622"/>
        <item x="601"/>
        <item x="522"/>
        <item x="380"/>
        <item x="335"/>
        <item x="206"/>
        <item x="202"/>
        <item x="268"/>
        <item x="319"/>
        <item x="178"/>
        <item x="610"/>
        <item x="288"/>
        <item x="408"/>
        <item x="254"/>
        <item x="83"/>
        <item x="382"/>
        <item x="350"/>
        <item x="306"/>
        <item x="311"/>
        <item x="626"/>
        <item x="635"/>
        <item x="494"/>
        <item x="453"/>
        <item x="414"/>
        <item x="188"/>
        <item x="244"/>
        <item x="122"/>
        <item x="234"/>
        <item x="505"/>
        <item x="502"/>
        <item x="48"/>
        <item x="223"/>
        <item x="41"/>
        <item x="147"/>
        <item x="50"/>
        <item x="504"/>
        <item x="1"/>
        <item x="87"/>
        <item x="22"/>
        <item x="493"/>
        <item x="43"/>
        <item x="82"/>
        <item x="67"/>
        <item x="21"/>
        <item x="45"/>
        <item x="163"/>
        <item x="371"/>
        <item x="643"/>
        <item x="121"/>
        <item x="18"/>
        <item x="241"/>
        <item x="602"/>
        <item x="284"/>
        <item x="142"/>
        <item x="36"/>
        <item x="88"/>
        <item x="96"/>
        <item x="433"/>
        <item x="639"/>
        <item x="235"/>
        <item x="611"/>
        <item x="358"/>
        <item x="138"/>
        <item x="94"/>
        <item x="331"/>
        <item x="266"/>
        <item x="467"/>
        <item x="252"/>
        <item x="636"/>
        <item x="5"/>
        <item x="649"/>
        <item x="557"/>
        <item x="437"/>
        <item x="214"/>
        <item x="66"/>
        <item x="314"/>
        <item x="572"/>
        <item x="132"/>
        <item x="114"/>
        <item x="391"/>
        <item x="198"/>
        <item x="273"/>
        <item x="616"/>
        <item x="343"/>
        <item x="582"/>
        <item x="85"/>
        <item x="164"/>
        <item x="243"/>
        <item x="341"/>
        <item x="199"/>
        <item x="91"/>
        <item x="352"/>
        <item x="195"/>
        <item x="192"/>
        <item x="308"/>
        <item x="468"/>
        <item x="668"/>
        <item x="74"/>
        <item x="413"/>
        <item x="547"/>
        <item x="637"/>
        <item x="409"/>
        <item x="283"/>
        <item x="393"/>
        <item x="286"/>
        <item x="559"/>
        <item x="426"/>
        <item x="599"/>
        <item x="640"/>
        <item x="549"/>
        <item x="400"/>
        <item x="305"/>
        <item x="197"/>
        <item x="527"/>
        <item x="158"/>
        <item x="315"/>
        <item x="536"/>
        <item x="166"/>
        <item x="176"/>
        <item x="193"/>
        <item x="212"/>
        <item x="294"/>
        <item x="262"/>
        <item x="573"/>
        <item x="652"/>
        <item x="354"/>
        <item x="544"/>
        <item x="540"/>
        <item x="108"/>
        <item x="104"/>
        <item x="232"/>
        <item x="183"/>
        <item x="208"/>
        <item x="641"/>
        <item x="229"/>
        <item x="620"/>
        <item x="604"/>
        <item x="587"/>
        <item x="424"/>
        <item x="177"/>
        <item x="239"/>
        <item x="418"/>
        <item x="567"/>
        <item x="13"/>
        <item x="14"/>
        <item x="355"/>
        <item x="69"/>
        <item x="7"/>
        <item x="0"/>
        <item x="3"/>
        <item x="213"/>
        <item x="667"/>
        <item x="389"/>
        <item x="123"/>
        <item x="246"/>
        <item x="410"/>
        <item x="429"/>
        <item x="270"/>
        <item x="250"/>
        <item x="579"/>
        <item x="406"/>
        <item x="512"/>
        <item x="452"/>
        <item x="402"/>
        <item x="446"/>
        <item x="420"/>
        <item x="312"/>
        <item x="365"/>
        <item x="458"/>
        <item x="342"/>
        <item x="361"/>
        <item x="485"/>
        <item x="597"/>
        <item x="454"/>
        <item x="440"/>
        <item x="638"/>
        <item x="570"/>
        <item x="629"/>
        <item x="215"/>
        <item x="106"/>
        <item x="432"/>
        <item t="default"/>
      </items>
    </pivotField>
    <pivotField showAll="0">
      <items count="24">
        <item x="15"/>
        <item x="9"/>
        <item x="21"/>
        <item x="3"/>
        <item x="2"/>
        <item x="8"/>
        <item x="18"/>
        <item x="20"/>
        <item x="11"/>
        <item x="1"/>
        <item x="14"/>
        <item x="12"/>
        <item x="6"/>
        <item x="5"/>
        <item x="10"/>
        <item x="16"/>
        <item x="22"/>
        <item x="7"/>
        <item x="0"/>
        <item x="19"/>
        <item x="4"/>
        <item x="13"/>
        <item x="17"/>
        <item t="default"/>
      </items>
    </pivotField>
    <pivotField showAll="0"/>
    <pivotField showAll="0">
      <items count="13">
        <item h="1" x="8"/>
        <item h="1" x="10"/>
        <item h="1" x="9"/>
        <item h="1" x="5"/>
        <item h="1" x="1"/>
        <item h="1" x="4"/>
        <item x="2"/>
        <item h="1" x="3"/>
        <item h="1" x="6"/>
        <item h="1" x="7"/>
        <item h="1" x="0"/>
        <item h="1" x="11"/>
        <item t="default"/>
      </items>
    </pivotField>
    <pivotField showAll="0"/>
    <pivotField showAll="0"/>
    <pivotField dataField="1" showAll="0">
      <items count="300">
        <item x="129"/>
        <item x="46"/>
        <item x="284"/>
        <item x="294"/>
        <item x="204"/>
        <item x="296"/>
        <item x="266"/>
        <item x="280"/>
        <item x="264"/>
        <item x="245"/>
        <item x="276"/>
        <item x="277"/>
        <item x="291"/>
        <item x="184"/>
        <item x="290"/>
        <item x="249"/>
        <item x="271"/>
        <item x="288"/>
        <item x="242"/>
        <item x="267"/>
        <item x="200"/>
        <item x="269"/>
        <item x="282"/>
        <item x="182"/>
        <item x="287"/>
        <item x="151"/>
        <item x="199"/>
        <item x="208"/>
        <item x="270"/>
        <item x="244"/>
        <item x="274"/>
        <item x="258"/>
        <item x="297"/>
        <item x="286"/>
        <item x="273"/>
        <item x="295"/>
        <item x="238"/>
        <item x="237"/>
        <item x="17"/>
        <item x="293"/>
        <item x="298"/>
        <item x="197"/>
        <item x="85"/>
        <item x="279"/>
        <item x="257"/>
        <item x="198"/>
        <item x="213"/>
        <item x="188"/>
        <item x="201"/>
        <item x="275"/>
        <item x="263"/>
        <item x="272"/>
        <item x="262"/>
        <item x="248"/>
        <item x="138"/>
        <item x="190"/>
        <item x="281"/>
        <item x="135"/>
        <item x="159"/>
        <item x="251"/>
        <item x="9"/>
        <item x="255"/>
        <item x="216"/>
        <item x="231"/>
        <item x="229"/>
        <item x="131"/>
        <item x="268"/>
        <item x="259"/>
        <item x="246"/>
        <item x="222"/>
        <item x="156"/>
        <item x="152"/>
        <item x="211"/>
        <item x="146"/>
        <item x="283"/>
        <item x="148"/>
        <item x="256"/>
        <item x="225"/>
        <item x="253"/>
        <item x="123"/>
        <item x="254"/>
        <item x="285"/>
        <item x="250"/>
        <item x="247"/>
        <item x="221"/>
        <item x="209"/>
        <item x="292"/>
        <item x="177"/>
        <item x="181"/>
        <item x="115"/>
        <item x="236"/>
        <item x="144"/>
        <item x="226"/>
        <item x="154"/>
        <item x="169"/>
        <item x="252"/>
        <item x="239"/>
        <item x="193"/>
        <item x="166"/>
        <item x="101"/>
        <item x="187"/>
        <item x="164"/>
        <item x="240"/>
        <item x="147"/>
        <item x="228"/>
        <item x="278"/>
        <item x="140"/>
        <item x="145"/>
        <item x="224"/>
        <item x="215"/>
        <item x="180"/>
        <item x="162"/>
        <item x="212"/>
        <item x="91"/>
        <item x="265"/>
        <item x="119"/>
        <item x="234"/>
        <item x="223"/>
        <item x="73"/>
        <item x="153"/>
        <item x="122"/>
        <item x="191"/>
        <item x="205"/>
        <item x="185"/>
        <item x="117"/>
        <item x="174"/>
        <item x="233"/>
        <item x="192"/>
        <item x="92"/>
        <item x="165"/>
        <item x="219"/>
        <item x="163"/>
        <item x="179"/>
        <item x="220"/>
        <item x="176"/>
        <item x="230"/>
        <item x="161"/>
        <item x="217"/>
        <item x="133"/>
        <item x="289"/>
        <item x="202"/>
        <item x="183"/>
        <item x="203"/>
        <item x="76"/>
        <item x="168"/>
        <item x="206"/>
        <item x="120"/>
        <item x="173"/>
        <item x="118"/>
        <item x="241"/>
        <item x="214"/>
        <item x="125"/>
        <item x="132"/>
        <item x="139"/>
        <item x="136"/>
        <item x="235"/>
        <item x="170"/>
        <item x="160"/>
        <item x="69"/>
        <item x="83"/>
        <item x="167"/>
        <item x="126"/>
        <item x="100"/>
        <item x="102"/>
        <item x="84"/>
        <item x="189"/>
        <item x="227"/>
        <item x="127"/>
        <item x="114"/>
        <item x="260"/>
        <item x="78"/>
        <item x="141"/>
        <item x="71"/>
        <item x="89"/>
        <item x="93"/>
        <item x="137"/>
        <item x="110"/>
        <item x="218"/>
        <item x="62"/>
        <item x="134"/>
        <item x="210"/>
        <item x="121"/>
        <item x="61"/>
        <item x="178"/>
        <item x="171"/>
        <item x="81"/>
        <item x="157"/>
        <item x="49"/>
        <item x="130"/>
        <item x="82"/>
        <item x="96"/>
        <item x="175"/>
        <item x="243"/>
        <item x="207"/>
        <item x="94"/>
        <item x="56"/>
        <item x="90"/>
        <item x="95"/>
        <item x="103"/>
        <item x="99"/>
        <item x="158"/>
        <item x="111"/>
        <item x="5"/>
        <item x="194"/>
        <item x="128"/>
        <item x="142"/>
        <item x="77"/>
        <item x="70"/>
        <item x="108"/>
        <item x="64"/>
        <item x="68"/>
        <item x="186"/>
        <item x="232"/>
        <item x="86"/>
        <item x="261"/>
        <item x="150"/>
        <item x="65"/>
        <item x="149"/>
        <item x="143"/>
        <item x="195"/>
        <item x="116"/>
        <item x="39"/>
        <item x="60"/>
        <item x="109"/>
        <item x="57"/>
        <item x="21"/>
        <item x="106"/>
        <item x="44"/>
        <item x="112"/>
        <item x="196"/>
        <item x="107"/>
        <item x="43"/>
        <item x="45"/>
        <item x="72"/>
        <item x="66"/>
        <item x="98"/>
        <item x="52"/>
        <item x="105"/>
        <item x="97"/>
        <item x="63"/>
        <item x="50"/>
        <item x="58"/>
        <item x="172"/>
        <item x="59"/>
        <item x="26"/>
        <item x="87"/>
        <item x="88"/>
        <item x="48"/>
        <item x="47"/>
        <item x="67"/>
        <item x="22"/>
        <item x="155"/>
        <item x="41"/>
        <item x="75"/>
        <item x="1"/>
        <item x="36"/>
        <item x="54"/>
        <item x="31"/>
        <item x="18"/>
        <item x="55"/>
        <item x="51"/>
        <item x="25"/>
        <item x="42"/>
        <item x="32"/>
        <item x="29"/>
        <item x="113"/>
        <item x="35"/>
        <item x="104"/>
        <item x="40"/>
        <item x="38"/>
        <item x="20"/>
        <item x="53"/>
        <item x="15"/>
        <item x="30"/>
        <item x="79"/>
        <item x="28"/>
        <item x="23"/>
        <item x="27"/>
        <item x="24"/>
        <item x="33"/>
        <item x="37"/>
        <item x="34"/>
        <item x="74"/>
        <item x="12"/>
        <item x="124"/>
        <item x="80"/>
        <item x="8"/>
        <item x="11"/>
        <item x="13"/>
        <item x="14"/>
        <item x="4"/>
        <item x="7"/>
        <item x="6"/>
        <item x="19"/>
        <item x="16"/>
        <item x="10"/>
        <item x="3"/>
        <item x="2"/>
        <item x="0"/>
        <item t="default"/>
      </items>
    </pivotField>
    <pivotField showAll="0"/>
    <pivotField showAll="0"/>
    <pivotField showAll="0"/>
  </pivotFields>
  <rowFields count="1">
    <field x="1"/>
  </rowFields>
  <rowItems count="11">
    <i>
      <x v="186"/>
    </i>
    <i>
      <x v="188"/>
    </i>
    <i>
      <x v="189"/>
    </i>
    <i>
      <x v="191"/>
    </i>
    <i>
      <x v="302"/>
    </i>
    <i>
      <x v="304"/>
    </i>
    <i>
      <x v="305"/>
    </i>
    <i>
      <x v="376"/>
    </i>
    <i>
      <x v="377"/>
    </i>
    <i>
      <x v="381"/>
    </i>
    <i t="grand">
      <x/>
    </i>
  </rowItems>
  <colItems count="1">
    <i/>
  </colItems>
  <dataFields count="1">
    <dataField name="Sum of EU_Sales" fld="7" baseField="0" baseItem="0"/>
  </dataFields>
  <chartFormats count="2">
    <chartFormat chart="0"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9E7A91-687F-4208-BB9A-F65841D5EA08}"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7">
  <location ref="A39:B60" firstHeaderRow="1" firstDataRow="1" firstDataCol="1"/>
  <pivotFields count="11">
    <pivotField showAll="0"/>
    <pivotField showAll="0"/>
    <pivotField showAll="0">
      <items count="24">
        <item x="15"/>
        <item x="9"/>
        <item x="21"/>
        <item x="3"/>
        <item x="2"/>
        <item x="8"/>
        <item x="18"/>
        <item x="20"/>
        <item x="11"/>
        <item x="1"/>
        <item x="14"/>
        <item x="12"/>
        <item x="6"/>
        <item x="5"/>
        <item x="10"/>
        <item x="16"/>
        <item x="22"/>
        <item x="7"/>
        <item x="0"/>
        <item x="19"/>
        <item x="4"/>
        <item x="13"/>
        <item x="17"/>
        <item t="default"/>
      </items>
    </pivotField>
    <pivotField axis="axisRow" showAll="0">
      <items count="39">
        <item h="1" x="36"/>
        <item h="1" x="34"/>
        <item h="1" x="26"/>
        <item h="1" x="37"/>
        <item h="1" x="6"/>
        <item h="1" x="1"/>
        <item h="1" x="28"/>
        <item h="1" x="35"/>
        <item h="1" x="14"/>
        <item h="1" x="5"/>
        <item h="1" x="13"/>
        <item h="1" x="33"/>
        <item h="1" x="22"/>
        <item h="1" x="24"/>
        <item h="1" x="25"/>
        <item x="31"/>
        <item x="4"/>
        <item x="23"/>
        <item x="18"/>
        <item x="8"/>
        <item x="29"/>
        <item x="16"/>
        <item x="15"/>
        <item x="27"/>
        <item x="12"/>
        <item x="7"/>
        <item x="0"/>
        <item x="9"/>
        <item x="2"/>
        <item x="3"/>
        <item x="10"/>
        <item x="17"/>
        <item x="20"/>
        <item x="11"/>
        <item x="21"/>
        <item x="19"/>
        <item x="32"/>
        <item h="1" x="30"/>
        <item t="default"/>
      </items>
    </pivotField>
    <pivotField showAll="0">
      <items count="13">
        <item h="1" x="8"/>
        <item h="1" x="10"/>
        <item h="1" x="9"/>
        <item h="1" x="5"/>
        <item h="1" x="1"/>
        <item h="1" x="4"/>
        <item x="2"/>
        <item h="1" x="3"/>
        <item h="1" x="6"/>
        <item h="1" x="7"/>
        <item h="1" x="0"/>
        <item h="1" x="11"/>
        <item t="default"/>
      </items>
    </pivotField>
    <pivotField showAll="0"/>
    <pivotField showAll="0"/>
    <pivotField showAll="0"/>
    <pivotField showAll="0"/>
    <pivotField showAll="0"/>
    <pivotField dataField="1" showAll="0"/>
  </pivotFields>
  <rowFields count="1">
    <field x="3"/>
  </rowFields>
  <rowItems count="21">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Global_Sales" fld="10" baseField="0" baseItem="0"/>
  </dataFields>
  <chartFormats count="2">
    <chartFormat chart="4"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1E3FBD-E215-4587-BEAB-550C96600AA8}" name="PivotTable1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0">
  <location ref="A22:B33" firstHeaderRow="1" firstDataRow="1" firstDataCol="1"/>
  <pivotFields count="11">
    <pivotField showAll="0"/>
    <pivotField axis="axisRow" showAll="0" measureFilter="1">
      <items count="672">
        <item x="362"/>
        <item x="457"/>
        <item x="373"/>
        <item x="375"/>
        <item x="194"/>
        <item x="412"/>
        <item x="64"/>
        <item x="37"/>
        <item x="514"/>
        <item x="143"/>
        <item x="141"/>
        <item x="115"/>
        <item x="263"/>
        <item x="353"/>
        <item x="322"/>
        <item x="225"/>
        <item x="260"/>
        <item x="220"/>
        <item x="554"/>
        <item x="630"/>
        <item x="296"/>
        <item x="363"/>
        <item x="224"/>
        <item x="144"/>
        <item x="277"/>
        <item x="563"/>
        <item x="90"/>
        <item x="291"/>
        <item x="326"/>
        <item x="669"/>
        <item x="110"/>
        <item x="275"/>
        <item x="443"/>
        <item x="617"/>
        <item x="568"/>
        <item x="330"/>
        <item x="390"/>
        <item x="26"/>
        <item x="19"/>
        <item x="484"/>
        <item x="488"/>
        <item x="475"/>
        <item x="61"/>
        <item x="84"/>
        <item x="30"/>
        <item x="32"/>
        <item x="33"/>
        <item x="431"/>
        <item x="53"/>
        <item x="34"/>
        <item x="28"/>
        <item x="642"/>
        <item x="89"/>
        <item x="245"/>
        <item x="589"/>
        <item x="374"/>
        <item x="324"/>
        <item x="435"/>
        <item x="441"/>
        <item x="139"/>
        <item x="309"/>
        <item x="425"/>
        <item x="606"/>
        <item x="590"/>
        <item x="105"/>
        <item x="86"/>
        <item x="95"/>
        <item x="150"/>
        <item x="338"/>
        <item x="189"/>
        <item x="523"/>
        <item x="366"/>
        <item x="313"/>
        <item x="369"/>
        <item x="648"/>
        <item x="612"/>
        <item x="228"/>
        <item x="564"/>
        <item x="665"/>
        <item x="520"/>
        <item x="647"/>
        <item x="664"/>
        <item x="140"/>
        <item x="411"/>
        <item x="663"/>
        <item x="618"/>
        <item x="161"/>
        <item x="185"/>
        <item x="555"/>
        <item x="608"/>
        <item x="392"/>
        <item x="156"/>
        <item x="62"/>
        <item x="165"/>
        <item x="321"/>
        <item x="113"/>
        <item x="261"/>
        <item x="576"/>
        <item x="307"/>
        <item x="152"/>
        <item x="515"/>
        <item x="387"/>
        <item x="553"/>
        <item x="405"/>
        <item x="135"/>
        <item x="459"/>
        <item x="368"/>
        <item x="207"/>
        <item x="160"/>
        <item x="526"/>
        <item x="518"/>
        <item x="267"/>
        <item x="384"/>
        <item x="577"/>
        <item x="124"/>
        <item x="191"/>
        <item x="9"/>
        <item x="657"/>
        <item x="259"/>
        <item x="346"/>
        <item x="370"/>
        <item x="396"/>
        <item x="499"/>
        <item x="236"/>
        <item x="231"/>
        <item x="336"/>
        <item x="489"/>
        <item x="221"/>
        <item x="169"/>
        <item x="181"/>
        <item x="98"/>
        <item x="247"/>
        <item x="328"/>
        <item x="253"/>
        <item x="651"/>
        <item x="109"/>
        <item x="101"/>
        <item x="112"/>
        <item x="68"/>
        <item x="190"/>
        <item x="230"/>
        <item x="242"/>
        <item x="379"/>
        <item x="506"/>
        <item x="302"/>
        <item x="174"/>
        <item x="73"/>
        <item x="337"/>
        <item x="325"/>
        <item x="289"/>
        <item x="334"/>
        <item x="154"/>
        <item x="543"/>
        <item x="650"/>
        <item x="542"/>
        <item x="58"/>
        <item x="78"/>
        <item x="77"/>
        <item x="155"/>
        <item x="133"/>
        <item x="151"/>
        <item x="487"/>
        <item x="448"/>
        <item x="271"/>
        <item x="249"/>
        <item x="145"/>
        <item x="196"/>
        <item x="631"/>
        <item x="293"/>
        <item x="237"/>
        <item x="560"/>
        <item x="439"/>
        <item x="525"/>
        <item x="127"/>
        <item x="107"/>
        <item x="126"/>
        <item x="403"/>
        <item x="510"/>
        <item x="209"/>
        <item x="498"/>
        <item x="248"/>
        <item x="187"/>
        <item x="594"/>
        <item x="367"/>
        <item x="75"/>
        <item x="255"/>
        <item x="47"/>
        <item x="356"/>
        <item x="60"/>
        <item x="27"/>
        <item x="42"/>
        <item x="49"/>
        <item x="233"/>
        <item x="299"/>
        <item x="585"/>
        <item x="333"/>
        <item x="35"/>
        <item x="46"/>
        <item x="16"/>
        <item x="81"/>
        <item x="17"/>
        <item x="23"/>
        <item x="173"/>
        <item x="592"/>
        <item x="565"/>
        <item x="171"/>
        <item x="180"/>
        <item x="327"/>
        <item x="298"/>
        <item x="240"/>
        <item x="571"/>
        <item x="70"/>
        <item x="39"/>
        <item x="120"/>
        <item x="57"/>
        <item x="222"/>
        <item x="497"/>
        <item x="116"/>
        <item x="545"/>
        <item x="54"/>
        <item x="378"/>
        <item x="490"/>
        <item x="503"/>
        <item x="285"/>
        <item x="385"/>
        <item x="623"/>
        <item x="417"/>
        <item x="628"/>
        <item x="455"/>
        <item x="430"/>
        <item x="551"/>
        <item x="434"/>
        <item x="451"/>
        <item x="421"/>
        <item x="465"/>
        <item x="300"/>
        <item x="464"/>
        <item x="316"/>
        <item x="586"/>
        <item x="347"/>
        <item x="92"/>
        <item x="59"/>
        <item x="282"/>
        <item x="596"/>
        <item x="52"/>
        <item x="100"/>
        <item x="583"/>
        <item x="364"/>
        <item x="399"/>
        <item x="456"/>
        <item x="509"/>
        <item x="15"/>
        <item x="125"/>
        <item x="574"/>
        <item x="566"/>
        <item x="118"/>
        <item x="219"/>
        <item x="416"/>
        <item x="603"/>
        <item x="168"/>
        <item x="575"/>
        <item x="653"/>
        <item x="627"/>
        <item x="323"/>
        <item x="395"/>
        <item x="359"/>
        <item x="320"/>
        <item x="257"/>
        <item x="339"/>
        <item x="532"/>
        <item x="279"/>
        <item x="591"/>
        <item x="480"/>
        <item x="136"/>
        <item x="317"/>
        <item x="179"/>
        <item x="134"/>
        <item x="332"/>
        <item x="310"/>
        <item x="201"/>
        <item x="184"/>
        <item x="205"/>
        <item x="516"/>
        <item x="521"/>
        <item x="444"/>
        <item x="481"/>
        <item x="479"/>
        <item x="436"/>
        <item x="360"/>
        <item x="388"/>
        <item x="238"/>
        <item x="159"/>
        <item x="203"/>
        <item x="632"/>
        <item x="644"/>
        <item x="274"/>
        <item x="634"/>
        <item x="278"/>
        <item x="76"/>
        <item x="200"/>
        <item x="598"/>
        <item x="55"/>
        <item x="38"/>
        <item x="97"/>
        <item x="11"/>
        <item x="2"/>
        <item x="99"/>
        <item x="148"/>
        <item x="472"/>
        <item x="478"/>
        <item x="530"/>
        <item x="539"/>
        <item x="71"/>
        <item x="349"/>
        <item x="65"/>
        <item x="656"/>
        <item x="500"/>
        <item x="584"/>
        <item x="482"/>
        <item x="528"/>
        <item x="423"/>
        <item x="386"/>
        <item x="394"/>
        <item x="351"/>
        <item x="445"/>
        <item x="492"/>
        <item x="103"/>
        <item x="167"/>
        <item x="131"/>
        <item x="128"/>
        <item x="227"/>
        <item x="130"/>
        <item x="340"/>
        <item x="670"/>
        <item x="474"/>
        <item x="447"/>
        <item x="211"/>
        <item x="170"/>
        <item x="407"/>
        <item x="295"/>
        <item x="541"/>
        <item x="495"/>
        <item x="401"/>
        <item x="63"/>
        <item x="471"/>
        <item x="562"/>
        <item x="329"/>
        <item x="264"/>
        <item x="511"/>
        <item x="186"/>
        <item x="146"/>
        <item x="463"/>
        <item x="357"/>
        <item x="438"/>
        <item x="460"/>
        <item x="477"/>
        <item x="533"/>
        <item x="265"/>
        <item x="580"/>
        <item x="292"/>
        <item x="449"/>
        <item x="226"/>
        <item x="272"/>
        <item x="251"/>
        <item x="258"/>
        <item x="666"/>
        <item x="501"/>
        <item x="404"/>
        <item x="538"/>
        <item x="569"/>
        <item x="269"/>
        <item x="508"/>
        <item x="461"/>
        <item x="561"/>
        <item x="546"/>
        <item x="381"/>
        <item x="93"/>
        <item x="102"/>
        <item x="588"/>
        <item x="450"/>
        <item x="655"/>
        <item x="216"/>
        <item x="661"/>
        <item x="556"/>
        <item x="486"/>
        <item x="613"/>
        <item x="6"/>
        <item x="56"/>
        <item x="162"/>
        <item x="8"/>
        <item x="210"/>
        <item x="10"/>
        <item x="276"/>
        <item x="605"/>
        <item x="476"/>
        <item x="80"/>
        <item x="422"/>
        <item x="496"/>
        <item x="600"/>
        <item x="607"/>
        <item x="658"/>
        <item x="524"/>
        <item x="383"/>
        <item x="529"/>
        <item x="204"/>
        <item x="519"/>
        <item x="119"/>
        <item x="117"/>
        <item x="79"/>
        <item x="473"/>
        <item x="290"/>
        <item x="29"/>
        <item x="72"/>
        <item x="25"/>
        <item x="20"/>
        <item x="51"/>
        <item x="12"/>
        <item x="40"/>
        <item x="182"/>
        <item x="44"/>
        <item x="153"/>
        <item x="633"/>
        <item x="593"/>
        <item x="4"/>
        <item x="24"/>
        <item x="301"/>
        <item x="149"/>
        <item x="31"/>
        <item x="662"/>
        <item x="614"/>
        <item x="303"/>
        <item x="595"/>
        <item x="552"/>
        <item x="624"/>
        <item x="558"/>
        <item x="621"/>
        <item x="157"/>
        <item x="256"/>
        <item x="462"/>
        <item x="344"/>
        <item x="654"/>
        <item x="660"/>
        <item x="535"/>
        <item x="645"/>
        <item x="348"/>
        <item x="507"/>
        <item x="466"/>
        <item x="281"/>
        <item x="513"/>
        <item x="398"/>
        <item x="111"/>
        <item x="175"/>
        <item x="581"/>
        <item x="137"/>
        <item x="287"/>
        <item x="304"/>
        <item x="172"/>
        <item x="377"/>
        <item x="280"/>
        <item x="534"/>
        <item x="217"/>
        <item x="372"/>
        <item x="548"/>
        <item x="537"/>
        <item x="619"/>
        <item x="531"/>
        <item x="318"/>
        <item x="345"/>
        <item x="625"/>
        <item x="397"/>
        <item x="470"/>
        <item x="659"/>
        <item x="615"/>
        <item x="428"/>
        <item x="646"/>
        <item x="483"/>
        <item x="491"/>
        <item x="578"/>
        <item x="442"/>
        <item x="419"/>
        <item x="297"/>
        <item x="609"/>
        <item x="550"/>
        <item x="517"/>
        <item x="469"/>
        <item x="415"/>
        <item x="427"/>
        <item x="376"/>
        <item x="218"/>
        <item x="129"/>
        <item x="622"/>
        <item x="601"/>
        <item x="522"/>
        <item x="380"/>
        <item x="335"/>
        <item x="206"/>
        <item x="202"/>
        <item x="268"/>
        <item x="319"/>
        <item x="178"/>
        <item x="610"/>
        <item x="288"/>
        <item x="408"/>
        <item x="254"/>
        <item x="83"/>
        <item x="382"/>
        <item x="350"/>
        <item x="306"/>
        <item x="311"/>
        <item x="626"/>
        <item x="635"/>
        <item x="494"/>
        <item x="453"/>
        <item x="414"/>
        <item x="188"/>
        <item x="244"/>
        <item x="122"/>
        <item x="234"/>
        <item x="505"/>
        <item x="502"/>
        <item x="48"/>
        <item x="223"/>
        <item x="41"/>
        <item x="147"/>
        <item x="50"/>
        <item x="504"/>
        <item x="1"/>
        <item x="87"/>
        <item x="22"/>
        <item x="493"/>
        <item x="43"/>
        <item x="82"/>
        <item x="67"/>
        <item x="21"/>
        <item x="45"/>
        <item x="163"/>
        <item x="371"/>
        <item x="643"/>
        <item x="121"/>
        <item x="18"/>
        <item x="241"/>
        <item x="602"/>
        <item x="284"/>
        <item x="142"/>
        <item x="36"/>
        <item x="88"/>
        <item x="96"/>
        <item x="433"/>
        <item x="639"/>
        <item x="235"/>
        <item x="611"/>
        <item x="358"/>
        <item x="138"/>
        <item x="94"/>
        <item x="331"/>
        <item x="266"/>
        <item x="467"/>
        <item x="252"/>
        <item x="636"/>
        <item x="5"/>
        <item x="649"/>
        <item x="557"/>
        <item x="437"/>
        <item x="214"/>
        <item x="66"/>
        <item x="314"/>
        <item x="572"/>
        <item x="132"/>
        <item x="114"/>
        <item x="391"/>
        <item x="198"/>
        <item x="273"/>
        <item x="616"/>
        <item x="343"/>
        <item x="582"/>
        <item x="85"/>
        <item x="164"/>
        <item x="243"/>
        <item x="341"/>
        <item x="199"/>
        <item x="91"/>
        <item x="352"/>
        <item x="195"/>
        <item x="192"/>
        <item x="308"/>
        <item x="468"/>
        <item x="668"/>
        <item x="74"/>
        <item x="413"/>
        <item x="547"/>
        <item x="637"/>
        <item x="409"/>
        <item x="283"/>
        <item x="393"/>
        <item x="286"/>
        <item x="559"/>
        <item x="426"/>
        <item x="599"/>
        <item x="640"/>
        <item x="549"/>
        <item x="400"/>
        <item x="305"/>
        <item x="197"/>
        <item x="527"/>
        <item x="158"/>
        <item x="315"/>
        <item x="536"/>
        <item x="166"/>
        <item x="176"/>
        <item x="193"/>
        <item x="212"/>
        <item x="294"/>
        <item x="262"/>
        <item x="573"/>
        <item x="652"/>
        <item x="354"/>
        <item x="544"/>
        <item x="540"/>
        <item x="108"/>
        <item x="104"/>
        <item x="232"/>
        <item x="183"/>
        <item x="208"/>
        <item x="641"/>
        <item x="229"/>
        <item x="620"/>
        <item x="604"/>
        <item x="587"/>
        <item x="424"/>
        <item x="177"/>
        <item x="239"/>
        <item x="418"/>
        <item x="567"/>
        <item x="13"/>
        <item x="14"/>
        <item x="355"/>
        <item x="69"/>
        <item x="7"/>
        <item x="0"/>
        <item x="3"/>
        <item x="213"/>
        <item x="667"/>
        <item x="389"/>
        <item x="123"/>
        <item x="246"/>
        <item x="410"/>
        <item x="429"/>
        <item x="270"/>
        <item x="250"/>
        <item x="579"/>
        <item x="406"/>
        <item x="512"/>
        <item x="452"/>
        <item x="402"/>
        <item x="446"/>
        <item x="420"/>
        <item x="312"/>
        <item x="365"/>
        <item x="458"/>
        <item x="342"/>
        <item x="361"/>
        <item x="485"/>
        <item x="597"/>
        <item x="454"/>
        <item x="440"/>
        <item x="638"/>
        <item x="570"/>
        <item x="629"/>
        <item x="215"/>
        <item x="106"/>
        <item x="432"/>
        <item t="default"/>
      </items>
    </pivotField>
    <pivotField showAll="0">
      <items count="24">
        <item x="15"/>
        <item x="9"/>
        <item x="21"/>
        <item x="3"/>
        <item x="2"/>
        <item x="8"/>
        <item x="18"/>
        <item x="20"/>
        <item x="11"/>
        <item x="1"/>
        <item x="14"/>
        <item x="12"/>
        <item x="6"/>
        <item x="5"/>
        <item x="10"/>
        <item x="16"/>
        <item x="22"/>
        <item x="7"/>
        <item x="0"/>
        <item x="19"/>
        <item x="4"/>
        <item x="13"/>
        <item x="17"/>
        <item t="default"/>
      </items>
    </pivotField>
    <pivotField showAll="0"/>
    <pivotField showAll="0">
      <items count="13">
        <item h="1" x="8"/>
        <item h="1" x="10"/>
        <item h="1" x="9"/>
        <item h="1" x="5"/>
        <item h="1" x="1"/>
        <item h="1" x="4"/>
        <item x="2"/>
        <item h="1" x="3"/>
        <item h="1" x="6"/>
        <item h="1" x="7"/>
        <item h="1" x="0"/>
        <item h="1" x="11"/>
        <item t="default"/>
      </items>
    </pivotField>
    <pivotField showAll="0">
      <items count="53">
        <item x="11"/>
        <item x="42"/>
        <item x="30"/>
        <item x="4"/>
        <item x="38"/>
        <item x="50"/>
        <item x="10"/>
        <item x="6"/>
        <item x="12"/>
        <item x="35"/>
        <item x="41"/>
        <item x="32"/>
        <item x="21"/>
        <item x="7"/>
        <item x="24"/>
        <item x="29"/>
        <item x="13"/>
        <item x="27"/>
        <item x="47"/>
        <item x="40"/>
        <item x="14"/>
        <item x="37"/>
        <item x="17"/>
        <item x="34"/>
        <item x="46"/>
        <item x="1"/>
        <item x="39"/>
        <item x="51"/>
        <item x="31"/>
        <item x="33"/>
        <item x="25"/>
        <item x="43"/>
        <item x="0"/>
        <item x="26"/>
        <item x="45"/>
        <item x="36"/>
        <item x="22"/>
        <item x="8"/>
        <item x="3"/>
        <item x="15"/>
        <item x="16"/>
        <item x="9"/>
        <item x="2"/>
        <item x="48"/>
        <item x="28"/>
        <item x="5"/>
        <item x="44"/>
        <item x="20"/>
        <item x="49"/>
        <item x="18"/>
        <item x="23"/>
        <item x="19"/>
        <item t="default"/>
      </items>
    </pivotField>
    <pivotField showAll="0"/>
    <pivotField showAll="0"/>
    <pivotField showAll="0"/>
    <pivotField showAll="0"/>
    <pivotField dataField="1" showAll="0"/>
  </pivotFields>
  <rowFields count="1">
    <field x="1"/>
  </rowFields>
  <rowItems count="11">
    <i>
      <x v="186"/>
    </i>
    <i>
      <x v="188"/>
    </i>
    <i>
      <x v="189"/>
    </i>
    <i>
      <x v="190"/>
    </i>
    <i>
      <x v="191"/>
    </i>
    <i>
      <x v="301"/>
    </i>
    <i>
      <x v="302"/>
    </i>
    <i>
      <x v="304"/>
    </i>
    <i>
      <x v="305"/>
    </i>
    <i>
      <x v="377"/>
    </i>
    <i t="grand">
      <x/>
    </i>
  </rowItems>
  <colItems count="1">
    <i/>
  </colItems>
  <dataFields count="1">
    <dataField name="Sum of Global_Sales" fld="10" baseField="0" baseItem="0"/>
  </dataFields>
  <chartFormats count="131">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9"/>
          </reference>
        </references>
      </pivotArea>
    </chartFormat>
    <chartFormat chart="2" format="2">
      <pivotArea type="data" outline="0" fieldPosition="0">
        <references count="2">
          <reference field="4294967294" count="1" selected="0">
            <x v="0"/>
          </reference>
          <reference field="1" count="1" selected="0">
            <x v="55"/>
          </reference>
        </references>
      </pivotArea>
    </chartFormat>
    <chartFormat chart="2" format="3">
      <pivotArea type="data" outline="0" fieldPosition="0">
        <references count="2">
          <reference field="4294967294" count="1" selected="0">
            <x v="0"/>
          </reference>
          <reference field="1" count="1" selected="0">
            <x v="170"/>
          </reference>
        </references>
      </pivotArea>
    </chartFormat>
    <chartFormat chart="2" format="4">
      <pivotArea type="data" outline="0" fieldPosition="0">
        <references count="2">
          <reference field="4294967294" count="1" selected="0">
            <x v="0"/>
          </reference>
          <reference field="1" count="1" selected="0">
            <x v="224"/>
          </reference>
        </references>
      </pivotArea>
    </chartFormat>
    <chartFormat chart="2" format="5">
      <pivotArea type="data" outline="0" fieldPosition="0">
        <references count="2">
          <reference field="4294967294" count="1" selected="0">
            <x v="0"/>
          </reference>
          <reference field="1" count="1" selected="0">
            <x v="265"/>
          </reference>
        </references>
      </pivotArea>
    </chartFormat>
    <chartFormat chart="2" format="6">
      <pivotArea type="data" outline="0" fieldPosition="0">
        <references count="2">
          <reference field="4294967294" count="1" selected="0">
            <x v="0"/>
          </reference>
          <reference field="1" count="1" selected="0">
            <x v="360"/>
          </reference>
        </references>
      </pivotArea>
    </chartFormat>
    <chartFormat chart="2" format="7">
      <pivotArea type="data" outline="0" fieldPosition="0">
        <references count="2">
          <reference field="4294967294" count="1" selected="0">
            <x v="0"/>
          </reference>
          <reference field="1" count="1" selected="0">
            <x v="462"/>
          </reference>
        </references>
      </pivotArea>
    </chartFormat>
    <chartFormat chart="2" format="8">
      <pivotArea type="data" outline="0" fieldPosition="0">
        <references count="2">
          <reference field="4294967294" count="1" selected="0">
            <x v="0"/>
          </reference>
          <reference field="1" count="1" selected="0">
            <x v="467"/>
          </reference>
        </references>
      </pivotArea>
    </chartFormat>
    <chartFormat chart="2" format="9">
      <pivotArea type="data" outline="0" fieldPosition="0">
        <references count="2">
          <reference field="4294967294" count="1" selected="0">
            <x v="0"/>
          </reference>
          <reference field="1" count="1" selected="0">
            <x v="534"/>
          </reference>
        </references>
      </pivotArea>
    </chartFormat>
    <chartFormat chart="2" format="10">
      <pivotArea type="data" outline="0" fieldPosition="0">
        <references count="2">
          <reference field="4294967294" count="1" selected="0">
            <x v="0"/>
          </reference>
          <reference field="1" count="1" selected="0">
            <x v="668"/>
          </reference>
        </references>
      </pivotArea>
    </chartFormat>
    <chartFormat chart="2" format="11">
      <pivotArea type="data" outline="0" fieldPosition="0">
        <references count="2">
          <reference field="4294967294" count="1" selected="0">
            <x v="0"/>
          </reference>
          <reference field="1" count="1" selected="0">
            <x v="12"/>
          </reference>
        </references>
      </pivotArea>
    </chartFormat>
    <chartFormat chart="2" format="12">
      <pivotArea type="data" outline="0" fieldPosition="0">
        <references count="2">
          <reference field="4294967294" count="1" selected="0">
            <x v="0"/>
          </reference>
          <reference field="1" count="1" selected="0">
            <x v="146"/>
          </reference>
        </references>
      </pivotArea>
    </chartFormat>
    <chartFormat chart="2" format="13">
      <pivotArea type="data" outline="0" fieldPosition="0">
        <references count="2">
          <reference field="4294967294" count="1" selected="0">
            <x v="0"/>
          </reference>
          <reference field="1" count="1" selected="0">
            <x v="196"/>
          </reference>
        </references>
      </pivotArea>
    </chartFormat>
    <chartFormat chart="2" format="14">
      <pivotArea type="data" outline="0" fieldPosition="0">
        <references count="2">
          <reference field="4294967294" count="1" selected="0">
            <x v="0"/>
          </reference>
          <reference field="1" count="1" selected="0">
            <x v="197"/>
          </reference>
        </references>
      </pivotArea>
    </chartFormat>
    <chartFormat chart="2" format="15">
      <pivotArea type="data" outline="0" fieldPosition="0">
        <references count="2">
          <reference field="4294967294" count="1" selected="0">
            <x v="0"/>
          </reference>
          <reference field="1" count="1" selected="0">
            <x v="198"/>
          </reference>
        </references>
      </pivotArea>
    </chartFormat>
    <chartFormat chart="2" format="16">
      <pivotArea type="data" outline="0" fieldPosition="0">
        <references count="2">
          <reference field="4294967294" count="1" selected="0">
            <x v="0"/>
          </reference>
          <reference field="1" count="1" selected="0">
            <x v="200"/>
          </reference>
        </references>
      </pivotArea>
    </chartFormat>
    <chartFormat chart="2" format="17">
      <pivotArea type="data" outline="0" fieldPosition="0">
        <references count="2">
          <reference field="4294967294" count="1" selected="0">
            <x v="0"/>
          </reference>
          <reference field="1" count="1" selected="0">
            <x v="201"/>
          </reference>
        </references>
      </pivotArea>
    </chartFormat>
    <chartFormat chart="2" format="18">
      <pivotArea type="data" outline="0" fieldPosition="0">
        <references count="2">
          <reference field="4294967294" count="1" selected="0">
            <x v="0"/>
          </reference>
          <reference field="1" count="1" selected="0">
            <x v="273"/>
          </reference>
        </references>
      </pivotArea>
    </chartFormat>
    <chartFormat chart="2" format="19">
      <pivotArea type="data" outline="0" fieldPosition="0">
        <references count="2">
          <reference field="4294967294" count="1" selected="0">
            <x v="0"/>
          </reference>
          <reference field="1" count="1" selected="0">
            <x v="417"/>
          </reference>
        </references>
      </pivotArea>
    </chartFormat>
    <chartFormat chart="2" format="20">
      <pivotArea type="data" outline="0" fieldPosition="0">
        <references count="2">
          <reference field="4294967294" count="1" selected="0">
            <x v="0"/>
          </reference>
          <reference field="1" count="1" selected="0">
            <x v="450"/>
          </reference>
        </references>
      </pivotArea>
    </chartFormat>
    <chartFormat chart="2" format="21">
      <pivotArea type="data" outline="0" fieldPosition="0">
        <references count="2">
          <reference field="4294967294" count="1" selected="0">
            <x v="0"/>
          </reference>
          <reference field="1" count="1" selected="0">
            <x v="305"/>
          </reference>
        </references>
      </pivotArea>
    </chartFormat>
    <chartFormat chart="2" format="22">
      <pivotArea type="data" outline="0" fieldPosition="0">
        <references count="2">
          <reference field="4294967294" count="1" selected="0">
            <x v="0"/>
          </reference>
          <reference field="1" count="1" selected="0">
            <x v="386"/>
          </reference>
        </references>
      </pivotArea>
    </chartFormat>
    <chartFormat chart="2" format="23">
      <pivotArea type="data" outline="0" fieldPosition="0">
        <references count="2">
          <reference field="4294967294" count="1" selected="0">
            <x v="0"/>
          </reference>
          <reference field="1" count="1" selected="0">
            <x v="389"/>
          </reference>
        </references>
      </pivotArea>
    </chartFormat>
    <chartFormat chart="2" format="24">
      <pivotArea type="data" outline="0" fieldPosition="0">
        <references count="2">
          <reference field="4294967294" count="1" selected="0">
            <x v="0"/>
          </reference>
          <reference field="1" count="1" selected="0">
            <x v="423"/>
          </reference>
        </references>
      </pivotArea>
    </chartFormat>
    <chartFormat chart="2" format="25">
      <pivotArea type="data" outline="0" fieldPosition="0">
        <references count="2">
          <reference field="4294967294" count="1" selected="0">
            <x v="0"/>
          </reference>
          <reference field="1" count="1" selected="0">
            <x v="526"/>
          </reference>
        </references>
      </pivotArea>
    </chartFormat>
    <chartFormat chart="2" format="26">
      <pivotArea type="data" outline="0" fieldPosition="0">
        <references count="2">
          <reference field="4294967294" count="1" selected="0">
            <x v="0"/>
          </reference>
          <reference field="1" count="1" selected="0">
            <x v="559"/>
          </reference>
        </references>
      </pivotArea>
    </chartFormat>
    <chartFormat chart="2" format="27">
      <pivotArea type="data" outline="0" fieldPosition="0">
        <references count="2">
          <reference field="4294967294" count="1" selected="0">
            <x v="0"/>
          </reference>
          <reference field="1" count="1" selected="0">
            <x v="637"/>
          </reference>
        </references>
      </pivotArea>
    </chartFormat>
    <chartFormat chart="2" format="28">
      <pivotArea type="data" outline="0" fieldPosition="0">
        <references count="2">
          <reference field="4294967294" count="1" selected="0">
            <x v="0"/>
          </reference>
          <reference field="1" count="1" selected="0">
            <x v="638"/>
          </reference>
        </references>
      </pivotArea>
    </chartFormat>
    <chartFormat chart="2" format="29">
      <pivotArea type="data" outline="0" fieldPosition="0">
        <references count="2">
          <reference field="4294967294" count="1" selected="0">
            <x v="0"/>
          </reference>
          <reference field="1" count="1" selected="0">
            <x v="639"/>
          </reference>
        </references>
      </pivotArea>
    </chartFormat>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 count="1" selected="0">
            <x v="38"/>
          </reference>
        </references>
      </pivotArea>
    </chartFormat>
    <chartFormat chart="21" format="2">
      <pivotArea type="data" outline="0" fieldPosition="0">
        <references count="2">
          <reference field="4294967294" count="1" selected="0">
            <x v="0"/>
          </reference>
          <reference field="1" count="1" selected="0">
            <x v="206"/>
          </reference>
        </references>
      </pivotArea>
    </chartFormat>
    <chartFormat chart="21" format="3">
      <pivotArea type="data" outline="0" fieldPosition="0">
        <references count="2">
          <reference field="4294967294" count="1" selected="0">
            <x v="0"/>
          </reference>
          <reference field="1" count="1" selected="0">
            <x v="241"/>
          </reference>
        </references>
      </pivotArea>
    </chartFormat>
    <chartFormat chart="21" format="4">
      <pivotArea type="data" outline="0" fieldPosition="0">
        <references count="2">
          <reference field="4294967294" count="1" selected="0">
            <x v="0"/>
          </reference>
          <reference field="1" count="1" selected="0">
            <x v="244"/>
          </reference>
        </references>
      </pivotArea>
    </chartFormat>
    <chartFormat chart="21" format="5">
      <pivotArea type="data" outline="0" fieldPosition="0">
        <references count="2">
          <reference field="4294967294" count="1" selected="0">
            <x v="0"/>
          </reference>
          <reference field="1" count="1" selected="0">
            <x v="251"/>
          </reference>
        </references>
      </pivotArea>
    </chartFormat>
    <chartFormat chart="21" format="6">
      <pivotArea type="data" outline="0" fieldPosition="0">
        <references count="2">
          <reference field="4294967294" count="1" selected="0">
            <x v="0"/>
          </reference>
          <reference field="1" count="1" selected="0">
            <x v="312"/>
          </reference>
        </references>
      </pivotArea>
    </chartFormat>
    <chartFormat chart="21" format="7">
      <pivotArea type="data" outline="0" fieldPosition="0">
        <references count="2">
          <reference field="4294967294" count="1" selected="0">
            <x v="0"/>
          </reference>
          <reference field="1" count="1" selected="0">
            <x v="314"/>
          </reference>
        </references>
      </pivotArea>
    </chartFormat>
    <chartFormat chart="21" format="8">
      <pivotArea type="data" outline="0" fieldPosition="0">
        <references count="2">
          <reference field="4294967294" count="1" selected="0">
            <x v="0"/>
          </reference>
          <reference field="1" count="1" selected="0">
            <x v="343"/>
          </reference>
        </references>
      </pivotArea>
    </chartFormat>
    <chartFormat chart="21" format="9">
      <pivotArea type="data" outline="0" fieldPosition="0">
        <references count="2">
          <reference field="4294967294" count="1" selected="0">
            <x v="0"/>
          </reference>
          <reference field="1" count="1" selected="0">
            <x v="636"/>
          </reference>
        </references>
      </pivotArea>
    </chartFormat>
    <chartFormat chart="21" format="10">
      <pivotArea type="data" outline="0" fieldPosition="0">
        <references count="2">
          <reference field="4294967294" count="1" selected="0">
            <x v="0"/>
          </reference>
          <reference field="1" count="1" selected="0">
            <x v="637"/>
          </reference>
        </references>
      </pivotArea>
    </chartFormat>
    <chartFormat chart="2" format="30">
      <pivotArea type="data" outline="0" fieldPosition="0">
        <references count="2">
          <reference field="4294967294" count="1" selected="0">
            <x v="0"/>
          </reference>
          <reference field="1" count="1" selected="0">
            <x v="38"/>
          </reference>
        </references>
      </pivotArea>
    </chartFormat>
    <chartFormat chart="2" format="31">
      <pivotArea type="data" outline="0" fieldPosition="0">
        <references count="2">
          <reference field="4294967294" count="1" selected="0">
            <x v="0"/>
          </reference>
          <reference field="1" count="1" selected="0">
            <x v="206"/>
          </reference>
        </references>
      </pivotArea>
    </chartFormat>
    <chartFormat chart="2" format="32">
      <pivotArea type="data" outline="0" fieldPosition="0">
        <references count="2">
          <reference field="4294967294" count="1" selected="0">
            <x v="0"/>
          </reference>
          <reference field="1" count="1" selected="0">
            <x v="241"/>
          </reference>
        </references>
      </pivotArea>
    </chartFormat>
    <chartFormat chart="2" format="33">
      <pivotArea type="data" outline="0" fieldPosition="0">
        <references count="2">
          <reference field="4294967294" count="1" selected="0">
            <x v="0"/>
          </reference>
          <reference field="1" count="1" selected="0">
            <x v="244"/>
          </reference>
        </references>
      </pivotArea>
    </chartFormat>
    <chartFormat chart="2" format="34">
      <pivotArea type="data" outline="0" fieldPosition="0">
        <references count="2">
          <reference field="4294967294" count="1" selected="0">
            <x v="0"/>
          </reference>
          <reference field="1" count="1" selected="0">
            <x v="251"/>
          </reference>
        </references>
      </pivotArea>
    </chartFormat>
    <chartFormat chart="2" format="35">
      <pivotArea type="data" outline="0" fieldPosition="0">
        <references count="2">
          <reference field="4294967294" count="1" selected="0">
            <x v="0"/>
          </reference>
          <reference field="1" count="1" selected="0">
            <x v="312"/>
          </reference>
        </references>
      </pivotArea>
    </chartFormat>
    <chartFormat chart="2" format="36">
      <pivotArea type="data" outline="0" fieldPosition="0">
        <references count="2">
          <reference field="4294967294" count="1" selected="0">
            <x v="0"/>
          </reference>
          <reference field="1" count="1" selected="0">
            <x v="314"/>
          </reference>
        </references>
      </pivotArea>
    </chartFormat>
    <chartFormat chart="2" format="37">
      <pivotArea type="data" outline="0" fieldPosition="0">
        <references count="2">
          <reference field="4294967294" count="1" selected="0">
            <x v="0"/>
          </reference>
          <reference field="1" count="1" selected="0">
            <x v="343"/>
          </reference>
        </references>
      </pivotArea>
    </chartFormat>
    <chartFormat chart="2" format="38">
      <pivotArea type="data" outline="0" fieldPosition="0">
        <references count="2">
          <reference field="4294967294" count="1" selected="0">
            <x v="0"/>
          </reference>
          <reference field="1" count="1" selected="0">
            <x v="636"/>
          </reference>
        </references>
      </pivotArea>
    </chartFormat>
    <chartFormat chart="21" format="11">
      <pivotArea type="data" outline="0" fieldPosition="0">
        <references count="2">
          <reference field="4294967294" count="1" selected="0">
            <x v="0"/>
          </reference>
          <reference field="1" count="1" selected="0">
            <x v="92"/>
          </reference>
        </references>
      </pivotArea>
    </chartFormat>
    <chartFormat chart="21" format="12">
      <pivotArea type="data" outline="0" fieldPosition="0">
        <references count="2">
          <reference field="4294967294" count="1" selected="0">
            <x v="0"/>
          </reference>
          <reference field="1" count="1" selected="0">
            <x v="386"/>
          </reference>
        </references>
      </pivotArea>
    </chartFormat>
    <chartFormat chart="21" format="13">
      <pivotArea type="data" outline="0" fieldPosition="0">
        <references count="2">
          <reference field="4294967294" count="1" selected="0">
            <x v="0"/>
          </reference>
          <reference field="1" count="1" selected="0">
            <x v="389"/>
          </reference>
        </references>
      </pivotArea>
    </chartFormat>
    <chartFormat chart="21" format="14">
      <pivotArea type="data" outline="0" fieldPosition="0">
        <references count="2">
          <reference field="4294967294" count="1" selected="0">
            <x v="0"/>
          </reference>
          <reference field="1" count="1" selected="0">
            <x v="520"/>
          </reference>
        </references>
      </pivotArea>
    </chartFormat>
    <chartFormat chart="21" format="15">
      <pivotArea type="data" outline="0" fieldPosition="0">
        <references count="2">
          <reference field="4294967294" count="1" selected="0">
            <x v="0"/>
          </reference>
          <reference field="1" count="1" selected="0">
            <x v="522"/>
          </reference>
        </references>
      </pivotArea>
    </chartFormat>
    <chartFormat chart="21" format="16">
      <pivotArea type="data" outline="0" fieldPosition="0">
        <references count="2">
          <reference field="4294967294" count="1" selected="0">
            <x v="0"/>
          </reference>
          <reference field="1" count="1" selected="0">
            <x v="526"/>
          </reference>
        </references>
      </pivotArea>
    </chartFormat>
    <chartFormat chart="21" format="17">
      <pivotArea type="data" outline="0" fieldPosition="0">
        <references count="2">
          <reference field="4294967294" count="1" selected="0">
            <x v="0"/>
          </reference>
          <reference field="1" count="1" selected="0">
            <x v="528"/>
          </reference>
        </references>
      </pivotArea>
    </chartFormat>
    <chartFormat chart="21" format="18">
      <pivotArea type="data" outline="0" fieldPosition="0">
        <references count="2">
          <reference field="4294967294" count="1" selected="0">
            <x v="0"/>
          </reference>
          <reference field="1" count="1" selected="0">
            <x v="530"/>
          </reference>
        </references>
      </pivotArea>
    </chartFormat>
    <chartFormat chart="21" format="19">
      <pivotArea type="data" outline="0" fieldPosition="0">
        <references count="2">
          <reference field="4294967294" count="1" selected="0">
            <x v="0"/>
          </reference>
          <reference field="1" count="1" selected="0">
            <x v="533"/>
          </reference>
        </references>
      </pivotArea>
    </chartFormat>
    <chartFormat chart="21" format="20">
      <pivotArea type="data" outline="0" fieldPosition="0">
        <references count="2">
          <reference field="4294967294" count="1" selected="0">
            <x v="0"/>
          </reference>
          <reference field="1" count="1" selected="0">
            <x v="539"/>
          </reference>
        </references>
      </pivotArea>
    </chartFormat>
    <chartFormat chart="2" format="39">
      <pivotArea type="data" outline="0" fieldPosition="0">
        <references count="2">
          <reference field="4294967294" count="1" selected="0">
            <x v="0"/>
          </reference>
          <reference field="1" count="1" selected="0">
            <x v="92"/>
          </reference>
        </references>
      </pivotArea>
    </chartFormat>
    <chartFormat chart="2" format="40">
      <pivotArea type="data" outline="0" fieldPosition="0">
        <references count="2">
          <reference field="4294967294" count="1" selected="0">
            <x v="0"/>
          </reference>
          <reference field="1" count="1" selected="0">
            <x v="520"/>
          </reference>
        </references>
      </pivotArea>
    </chartFormat>
    <chartFormat chart="2" format="41">
      <pivotArea type="data" outline="0" fieldPosition="0">
        <references count="2">
          <reference field="4294967294" count="1" selected="0">
            <x v="0"/>
          </reference>
          <reference field="1" count="1" selected="0">
            <x v="522"/>
          </reference>
        </references>
      </pivotArea>
    </chartFormat>
    <chartFormat chart="2" format="42">
      <pivotArea type="data" outline="0" fieldPosition="0">
        <references count="2">
          <reference field="4294967294" count="1" selected="0">
            <x v="0"/>
          </reference>
          <reference field="1" count="1" selected="0">
            <x v="528"/>
          </reference>
        </references>
      </pivotArea>
    </chartFormat>
    <chartFormat chart="2" format="43">
      <pivotArea type="data" outline="0" fieldPosition="0">
        <references count="2">
          <reference field="4294967294" count="1" selected="0">
            <x v="0"/>
          </reference>
          <reference field="1" count="1" selected="0">
            <x v="530"/>
          </reference>
        </references>
      </pivotArea>
    </chartFormat>
    <chartFormat chart="2" format="44">
      <pivotArea type="data" outline="0" fieldPosition="0">
        <references count="2">
          <reference field="4294967294" count="1" selected="0">
            <x v="0"/>
          </reference>
          <reference field="1" count="1" selected="0">
            <x v="533"/>
          </reference>
        </references>
      </pivotArea>
    </chartFormat>
    <chartFormat chart="2" format="45">
      <pivotArea type="data" outline="0" fieldPosition="0">
        <references count="2">
          <reference field="4294967294" count="1" selected="0">
            <x v="0"/>
          </reference>
          <reference field="1" count="1" selected="0">
            <x v="539"/>
          </reference>
        </references>
      </pivotArea>
    </chartFormat>
    <chartFormat chart="29" format="55" series="1">
      <pivotArea type="data" outline="0" fieldPosition="0">
        <references count="1">
          <reference field="4294967294" count="1" selected="0">
            <x v="0"/>
          </reference>
        </references>
      </pivotArea>
    </chartFormat>
    <chartFormat chart="29" format="56">
      <pivotArea type="data" outline="0" fieldPosition="0">
        <references count="2">
          <reference field="4294967294" count="1" selected="0">
            <x v="0"/>
          </reference>
          <reference field="1" count="1" selected="0">
            <x v="58"/>
          </reference>
        </references>
      </pivotArea>
    </chartFormat>
    <chartFormat chart="29" format="57">
      <pivotArea type="data" outline="0" fieldPosition="0">
        <references count="2">
          <reference field="4294967294" count="1" selected="0">
            <x v="0"/>
          </reference>
          <reference field="1" count="1" selected="0">
            <x v="216"/>
          </reference>
        </references>
      </pivotArea>
    </chartFormat>
    <chartFormat chart="29" format="58">
      <pivotArea type="data" outline="0" fieldPosition="0">
        <references count="2">
          <reference field="4294967294" count="1" selected="0">
            <x v="0"/>
          </reference>
          <reference field="1" count="1" selected="0">
            <x v="409"/>
          </reference>
        </references>
      </pivotArea>
    </chartFormat>
    <chartFormat chart="29" format="59">
      <pivotArea type="data" outline="0" fieldPosition="0">
        <references count="2">
          <reference field="4294967294" count="1" selected="0">
            <x v="0"/>
          </reference>
          <reference field="1" count="1" selected="0">
            <x v="410"/>
          </reference>
        </references>
      </pivotArea>
    </chartFormat>
    <chartFormat chart="29" format="60">
      <pivotArea type="data" outline="0" fieldPosition="0">
        <references count="2">
          <reference field="4294967294" count="1" selected="0">
            <x v="0"/>
          </reference>
          <reference field="1" count="1" selected="0">
            <x v="426"/>
          </reference>
        </references>
      </pivotArea>
    </chartFormat>
    <chartFormat chart="29" format="61">
      <pivotArea type="data" outline="0" fieldPosition="0">
        <references count="2">
          <reference field="4294967294" count="1" selected="0">
            <x v="0"/>
          </reference>
          <reference field="1" count="1" selected="0">
            <x v="514"/>
          </reference>
        </references>
      </pivotArea>
    </chartFormat>
    <chartFormat chart="29" format="62">
      <pivotArea type="data" outline="0" fieldPosition="0">
        <references count="2">
          <reference field="4294967294" count="1" selected="0">
            <x v="0"/>
          </reference>
          <reference field="1" count="1" selected="0">
            <x v="595"/>
          </reference>
        </references>
      </pivotArea>
    </chartFormat>
    <chartFormat chart="29" format="63">
      <pivotArea type="data" outline="0" fieldPosition="0">
        <references count="2">
          <reference field="4294967294" count="1" selected="0">
            <x v="0"/>
          </reference>
          <reference field="1" count="1" selected="0">
            <x v="624"/>
          </reference>
        </references>
      </pivotArea>
    </chartFormat>
    <chartFormat chart="29" format="64">
      <pivotArea type="data" outline="0" fieldPosition="0">
        <references count="2">
          <reference field="4294967294" count="1" selected="0">
            <x v="0"/>
          </reference>
          <reference field="1" count="1" selected="0">
            <x v="629"/>
          </reference>
        </references>
      </pivotArea>
    </chartFormat>
    <chartFormat chart="29" format="65">
      <pivotArea type="data" outline="0" fieldPosition="0">
        <references count="2">
          <reference field="4294967294" count="1" selected="0">
            <x v="0"/>
          </reference>
          <reference field="1" count="1" selected="0">
            <x v="198"/>
          </reference>
        </references>
      </pivotArea>
    </chartFormat>
    <chartFormat chart="29" format="66">
      <pivotArea type="data" outline="0" fieldPosition="0">
        <references count="2">
          <reference field="4294967294" count="1" selected="0">
            <x v="0"/>
          </reference>
          <reference field="1" count="1" selected="0">
            <x v="305"/>
          </reference>
        </references>
      </pivotArea>
    </chartFormat>
    <chartFormat chart="29" format="67">
      <pivotArea type="data" outline="0" fieldPosition="0">
        <references count="2">
          <reference field="4294967294" count="1" selected="0">
            <x v="0"/>
          </reference>
          <reference field="1" count="1" selected="0">
            <x v="386"/>
          </reference>
        </references>
      </pivotArea>
    </chartFormat>
    <chartFormat chart="29" format="68">
      <pivotArea type="data" outline="0" fieldPosition="0">
        <references count="2">
          <reference field="4294967294" count="1" selected="0">
            <x v="0"/>
          </reference>
          <reference field="1" count="1" selected="0">
            <x v="389"/>
          </reference>
        </references>
      </pivotArea>
    </chartFormat>
    <chartFormat chart="29" format="69">
      <pivotArea type="data" outline="0" fieldPosition="0">
        <references count="2">
          <reference field="4294967294" count="1" selected="0">
            <x v="0"/>
          </reference>
          <reference field="1" count="1" selected="0">
            <x v="423"/>
          </reference>
        </references>
      </pivotArea>
    </chartFormat>
    <chartFormat chart="29" format="70">
      <pivotArea type="data" outline="0" fieldPosition="0">
        <references count="2">
          <reference field="4294967294" count="1" selected="0">
            <x v="0"/>
          </reference>
          <reference field="1" count="1" selected="0">
            <x v="526"/>
          </reference>
        </references>
      </pivotArea>
    </chartFormat>
    <chartFormat chart="29" format="71">
      <pivotArea type="data" outline="0" fieldPosition="0">
        <references count="2">
          <reference field="4294967294" count="1" selected="0">
            <x v="0"/>
          </reference>
          <reference field="1" count="1" selected="0">
            <x v="559"/>
          </reference>
        </references>
      </pivotArea>
    </chartFormat>
    <chartFormat chart="29" format="72">
      <pivotArea type="data" outline="0" fieldPosition="0">
        <references count="2">
          <reference field="4294967294" count="1" selected="0">
            <x v="0"/>
          </reference>
          <reference field="1" count="1" selected="0">
            <x v="637"/>
          </reference>
        </references>
      </pivotArea>
    </chartFormat>
    <chartFormat chart="29" format="73">
      <pivotArea type="data" outline="0" fieldPosition="0">
        <references count="2">
          <reference field="4294967294" count="1" selected="0">
            <x v="0"/>
          </reference>
          <reference field="1" count="1" selected="0">
            <x v="638"/>
          </reference>
        </references>
      </pivotArea>
    </chartFormat>
    <chartFormat chart="29" format="74">
      <pivotArea type="data" outline="0" fieldPosition="0">
        <references count="2">
          <reference field="4294967294" count="1" selected="0">
            <x v="0"/>
          </reference>
          <reference field="1" count="1" selected="0">
            <x v="639"/>
          </reference>
        </references>
      </pivotArea>
    </chartFormat>
    <chartFormat chart="21" format="21">
      <pivotArea type="data" outline="0" fieldPosition="0">
        <references count="2">
          <reference field="4294967294" count="1" selected="0">
            <x v="0"/>
          </reference>
          <reference field="1" count="1" selected="0">
            <x v="353"/>
          </reference>
        </references>
      </pivotArea>
    </chartFormat>
    <chartFormat chart="21" format="22">
      <pivotArea type="data" outline="0" fieldPosition="0">
        <references count="2">
          <reference field="4294967294" count="1" selected="0">
            <x v="0"/>
          </reference>
          <reference field="1" count="1" selected="0">
            <x v="515"/>
          </reference>
        </references>
      </pivotArea>
    </chartFormat>
    <chartFormat chart="21" format="23">
      <pivotArea type="data" outline="0" fieldPosition="0">
        <references count="2">
          <reference field="4294967294" count="1" selected="0">
            <x v="0"/>
          </reference>
          <reference field="1" count="1" selected="0">
            <x v="516"/>
          </reference>
        </references>
      </pivotArea>
    </chartFormat>
    <chartFormat chart="21" format="24">
      <pivotArea type="data" outline="0" fieldPosition="0">
        <references count="2">
          <reference field="4294967294" count="1" selected="0">
            <x v="0"/>
          </reference>
          <reference field="1" count="1" selected="0">
            <x v="517"/>
          </reference>
        </references>
      </pivotArea>
    </chartFormat>
    <chartFormat chart="21" format="25">
      <pivotArea type="data" outline="0" fieldPosition="0">
        <references count="2">
          <reference field="4294967294" count="1" selected="0">
            <x v="0"/>
          </reference>
          <reference field="1" count="1" selected="0">
            <x v="543"/>
          </reference>
        </references>
      </pivotArea>
    </chartFormat>
    <chartFormat chart="21" format="26">
      <pivotArea type="data" outline="0" fieldPosition="0">
        <references count="2">
          <reference field="4294967294" count="1" selected="0">
            <x v="0"/>
          </reference>
          <reference field="1" count="1" selected="0">
            <x v="544"/>
          </reference>
        </references>
      </pivotArea>
    </chartFormat>
    <chartFormat chart="21" format="27">
      <pivotArea type="data" outline="0" fieldPosition="0">
        <references count="2">
          <reference field="4294967294" count="1" selected="0">
            <x v="0"/>
          </reference>
          <reference field="1" count="1" selected="0">
            <x v="545"/>
          </reference>
        </references>
      </pivotArea>
    </chartFormat>
    <chartFormat chart="21" format="28">
      <pivotArea type="data" outline="0" fieldPosition="0">
        <references count="2">
          <reference field="4294967294" count="1" selected="0">
            <x v="0"/>
          </reference>
          <reference field="1" count="1" selected="0">
            <x v="546"/>
          </reference>
        </references>
      </pivotArea>
    </chartFormat>
    <chartFormat chart="21" format="29">
      <pivotArea type="data" outline="0" fieldPosition="0">
        <references count="2">
          <reference field="4294967294" count="1" selected="0">
            <x v="0"/>
          </reference>
          <reference field="1" count="1" selected="0">
            <x v="552"/>
          </reference>
        </references>
      </pivotArea>
    </chartFormat>
    <chartFormat chart="21" format="30">
      <pivotArea type="data" outline="0" fieldPosition="0">
        <references count="2">
          <reference field="4294967294" count="1" selected="0">
            <x v="0"/>
          </reference>
          <reference field="1" count="1" selected="0">
            <x v="553"/>
          </reference>
        </references>
      </pivotArea>
    </chartFormat>
    <chartFormat chart="2" format="46">
      <pivotArea type="data" outline="0" fieldPosition="0">
        <references count="2">
          <reference field="4294967294" count="1" selected="0">
            <x v="0"/>
          </reference>
          <reference field="1" count="1" selected="0">
            <x v="353"/>
          </reference>
        </references>
      </pivotArea>
    </chartFormat>
    <chartFormat chart="2" format="47">
      <pivotArea type="data" outline="0" fieldPosition="0">
        <references count="2">
          <reference field="4294967294" count="1" selected="0">
            <x v="0"/>
          </reference>
          <reference field="1" count="1" selected="0">
            <x v="515"/>
          </reference>
        </references>
      </pivotArea>
    </chartFormat>
    <chartFormat chart="2" format="48">
      <pivotArea type="data" outline="0" fieldPosition="0">
        <references count="2">
          <reference field="4294967294" count="1" selected="0">
            <x v="0"/>
          </reference>
          <reference field="1" count="1" selected="0">
            <x v="516"/>
          </reference>
        </references>
      </pivotArea>
    </chartFormat>
    <chartFormat chart="2" format="49">
      <pivotArea type="data" outline="0" fieldPosition="0">
        <references count="2">
          <reference field="4294967294" count="1" selected="0">
            <x v="0"/>
          </reference>
          <reference field="1" count="1" selected="0">
            <x v="517"/>
          </reference>
        </references>
      </pivotArea>
    </chartFormat>
    <chartFormat chart="2" format="50">
      <pivotArea type="data" outline="0" fieldPosition="0">
        <references count="2">
          <reference field="4294967294" count="1" selected="0">
            <x v="0"/>
          </reference>
          <reference field="1" count="1" selected="0">
            <x v="543"/>
          </reference>
        </references>
      </pivotArea>
    </chartFormat>
    <chartFormat chart="2" format="51">
      <pivotArea type="data" outline="0" fieldPosition="0">
        <references count="2">
          <reference field="4294967294" count="1" selected="0">
            <x v="0"/>
          </reference>
          <reference field="1" count="1" selected="0">
            <x v="544"/>
          </reference>
        </references>
      </pivotArea>
    </chartFormat>
    <chartFormat chart="2" format="52">
      <pivotArea type="data" outline="0" fieldPosition="0">
        <references count="2">
          <reference field="4294967294" count="1" selected="0">
            <x v="0"/>
          </reference>
          <reference field="1" count="1" selected="0">
            <x v="545"/>
          </reference>
        </references>
      </pivotArea>
    </chartFormat>
    <chartFormat chart="2" format="53">
      <pivotArea type="data" outline="0" fieldPosition="0">
        <references count="2">
          <reference field="4294967294" count="1" selected="0">
            <x v="0"/>
          </reference>
          <reference field="1" count="1" selected="0">
            <x v="546"/>
          </reference>
        </references>
      </pivotArea>
    </chartFormat>
    <chartFormat chart="2" format="54">
      <pivotArea type="data" outline="0" fieldPosition="0">
        <references count="2">
          <reference field="4294967294" count="1" selected="0">
            <x v="0"/>
          </reference>
          <reference field="1" count="1" selected="0">
            <x v="552"/>
          </reference>
        </references>
      </pivotArea>
    </chartFormat>
    <chartFormat chart="2" format="55">
      <pivotArea type="data" outline="0" fieldPosition="0">
        <references count="2">
          <reference field="4294967294" count="1" selected="0">
            <x v="0"/>
          </reference>
          <reference field="1" count="1" selected="0">
            <x v="553"/>
          </reference>
        </references>
      </pivotArea>
    </chartFormat>
    <chartFormat chart="21" format="31">
      <pivotArea type="data" outline="0" fieldPosition="0">
        <references count="2">
          <reference field="4294967294" count="1" selected="0">
            <x v="0"/>
          </reference>
          <reference field="1" count="1" selected="0">
            <x v="198"/>
          </reference>
        </references>
      </pivotArea>
    </chartFormat>
    <chartFormat chart="21" format="32">
      <pivotArea type="data" outline="0" fieldPosition="0">
        <references count="2">
          <reference field="4294967294" count="1" selected="0">
            <x v="0"/>
          </reference>
          <reference field="1" count="1" selected="0">
            <x v="305"/>
          </reference>
        </references>
      </pivotArea>
    </chartFormat>
    <chartFormat chart="21" format="33">
      <pivotArea type="data" outline="0" fieldPosition="0">
        <references count="2">
          <reference field="4294967294" count="1" selected="0">
            <x v="0"/>
          </reference>
          <reference field="1" count="1" selected="0">
            <x v="423"/>
          </reference>
        </references>
      </pivotArea>
    </chartFormat>
    <chartFormat chart="21" format="34">
      <pivotArea type="data" outline="0" fieldPosition="0">
        <references count="2">
          <reference field="4294967294" count="1" selected="0">
            <x v="0"/>
          </reference>
          <reference field="1" count="1" selected="0">
            <x v="559"/>
          </reference>
        </references>
      </pivotArea>
    </chartFormat>
    <chartFormat chart="21" format="35">
      <pivotArea type="data" outline="0" fieldPosition="0">
        <references count="2">
          <reference field="4294967294" count="1" selected="0">
            <x v="0"/>
          </reference>
          <reference field="1" count="1" selected="0">
            <x v="638"/>
          </reference>
        </references>
      </pivotArea>
    </chartFormat>
    <chartFormat chart="21" format="36">
      <pivotArea type="data" outline="0" fieldPosition="0">
        <references count="2">
          <reference field="4294967294" count="1" selected="0">
            <x v="0"/>
          </reference>
          <reference field="1" count="1" selected="0">
            <x v="639"/>
          </reference>
        </references>
      </pivotArea>
    </chartFormat>
    <chartFormat chart="21" format="37">
      <pivotArea type="data" outline="0" fieldPosition="0">
        <references count="2">
          <reference field="4294967294" count="1" selected="0">
            <x v="0"/>
          </reference>
          <reference field="1" count="1" selected="0">
            <x v="12"/>
          </reference>
        </references>
      </pivotArea>
    </chartFormat>
    <chartFormat chart="21" format="38">
      <pivotArea type="data" outline="0" fieldPosition="0">
        <references count="2">
          <reference field="4294967294" count="1" selected="0">
            <x v="0"/>
          </reference>
          <reference field="1" count="1" selected="0">
            <x v="146"/>
          </reference>
        </references>
      </pivotArea>
    </chartFormat>
    <chartFormat chart="21" format="39">
      <pivotArea type="data" outline="0" fieldPosition="0">
        <references count="2">
          <reference field="4294967294" count="1" selected="0">
            <x v="0"/>
          </reference>
          <reference field="1" count="1" selected="0">
            <x v="196"/>
          </reference>
        </references>
      </pivotArea>
    </chartFormat>
    <chartFormat chart="21" format="40">
      <pivotArea type="data" outline="0" fieldPosition="0">
        <references count="2">
          <reference field="4294967294" count="1" selected="0">
            <x v="0"/>
          </reference>
          <reference field="1" count="1" selected="0">
            <x v="197"/>
          </reference>
        </references>
      </pivotArea>
    </chartFormat>
    <chartFormat chart="21" format="41">
      <pivotArea type="data" outline="0" fieldPosition="0">
        <references count="2">
          <reference field="4294967294" count="1" selected="0">
            <x v="0"/>
          </reference>
          <reference field="1" count="1" selected="0">
            <x v="200"/>
          </reference>
        </references>
      </pivotArea>
    </chartFormat>
    <chartFormat chart="21" format="42">
      <pivotArea type="data" outline="0" fieldPosition="0">
        <references count="2">
          <reference field="4294967294" count="1" selected="0">
            <x v="0"/>
          </reference>
          <reference field="1" count="1" selected="0">
            <x v="201"/>
          </reference>
        </references>
      </pivotArea>
    </chartFormat>
    <chartFormat chart="21" format="43">
      <pivotArea type="data" outline="0" fieldPosition="0">
        <references count="2">
          <reference field="4294967294" count="1" selected="0">
            <x v="0"/>
          </reference>
          <reference field="1" count="1" selected="0">
            <x v="273"/>
          </reference>
        </references>
      </pivotArea>
    </chartFormat>
    <chartFormat chart="21" format="44">
      <pivotArea type="data" outline="0" fieldPosition="0">
        <references count="2">
          <reference field="4294967294" count="1" selected="0">
            <x v="0"/>
          </reference>
          <reference field="1" count="1" selected="0">
            <x v="417"/>
          </reference>
        </references>
      </pivotArea>
    </chartFormat>
    <chartFormat chart="21" format="45">
      <pivotArea type="data" outline="0" fieldPosition="0">
        <references count="2">
          <reference field="4294967294" count="1" selected="0">
            <x v="0"/>
          </reference>
          <reference field="1" count="1" selected="0">
            <x v="450"/>
          </reference>
        </references>
      </pivotArea>
    </chartFormat>
    <chartFormat chart="29" format="75">
      <pivotArea type="data" outline="0" fieldPosition="0">
        <references count="2">
          <reference field="4294967294" count="1" selected="0">
            <x v="0"/>
          </reference>
          <reference field="1" count="1" selected="0">
            <x v="38"/>
          </reference>
        </references>
      </pivotArea>
    </chartFormat>
    <chartFormat chart="29" format="76">
      <pivotArea type="data" outline="0" fieldPosition="0">
        <references count="2">
          <reference field="4294967294" count="1" selected="0">
            <x v="0"/>
          </reference>
          <reference field="1" count="1" selected="0">
            <x v="206"/>
          </reference>
        </references>
      </pivotArea>
    </chartFormat>
    <chartFormat chart="29" format="77">
      <pivotArea type="data" outline="0" fieldPosition="0">
        <references count="2">
          <reference field="4294967294" count="1" selected="0">
            <x v="0"/>
          </reference>
          <reference field="1" count="1" selected="0">
            <x v="241"/>
          </reference>
        </references>
      </pivotArea>
    </chartFormat>
    <chartFormat chart="29" format="78">
      <pivotArea type="data" outline="0" fieldPosition="0">
        <references count="2">
          <reference field="4294967294" count="1" selected="0">
            <x v="0"/>
          </reference>
          <reference field="1" count="1" selected="0">
            <x v="244"/>
          </reference>
        </references>
      </pivotArea>
    </chartFormat>
    <chartFormat chart="29" format="79">
      <pivotArea type="data" outline="0" fieldPosition="0">
        <references count="2">
          <reference field="4294967294" count="1" selected="0">
            <x v="0"/>
          </reference>
          <reference field="1" count="1" selected="0">
            <x v="251"/>
          </reference>
        </references>
      </pivotArea>
    </chartFormat>
    <chartFormat chart="29" format="80">
      <pivotArea type="data" outline="0" fieldPosition="0">
        <references count="2">
          <reference field="4294967294" count="1" selected="0">
            <x v="0"/>
          </reference>
          <reference field="1" count="1" selected="0">
            <x v="312"/>
          </reference>
        </references>
      </pivotArea>
    </chartFormat>
    <chartFormat chart="29" format="81">
      <pivotArea type="data" outline="0" fieldPosition="0">
        <references count="2">
          <reference field="4294967294" count="1" selected="0">
            <x v="0"/>
          </reference>
          <reference field="1" count="1" selected="0">
            <x v="314"/>
          </reference>
        </references>
      </pivotArea>
    </chartFormat>
    <chartFormat chart="29" format="82">
      <pivotArea type="data" outline="0" fieldPosition="0">
        <references count="2">
          <reference field="4294967294" count="1" selected="0">
            <x v="0"/>
          </reference>
          <reference field="1" count="1" selected="0">
            <x v="343"/>
          </reference>
        </references>
      </pivotArea>
    </chartFormat>
    <chartFormat chart="29" format="83">
      <pivotArea type="data" outline="0" fieldPosition="0">
        <references count="2">
          <reference field="4294967294" count="1" selected="0">
            <x v="0"/>
          </reference>
          <reference field="1" count="1" selected="0">
            <x v="636"/>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06C116-48C3-4659-B98B-B12E4B7CE4FF}"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6">
  <location ref="A3:B14" firstHeaderRow="1" firstDataRow="1" firstDataCol="1"/>
  <pivotFields count="11">
    <pivotField showAll="0"/>
    <pivotField showAll="0"/>
    <pivotField showAll="0">
      <items count="24">
        <item x="15"/>
        <item x="9"/>
        <item x="21"/>
        <item x="3"/>
        <item x="2"/>
        <item x="8"/>
        <item x="18"/>
        <item x="20"/>
        <item x="11"/>
        <item x="1"/>
        <item x="14"/>
        <item x="12"/>
        <item x="6"/>
        <item x="5"/>
        <item x="10"/>
        <item x="16"/>
        <item x="22"/>
        <item x="7"/>
        <item x="0"/>
        <item x="19"/>
        <item x="4"/>
        <item x="13"/>
        <item x="17"/>
        <item t="default"/>
      </items>
    </pivotField>
    <pivotField showAll="0">
      <items count="39">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0"/>
        <item t="default"/>
      </items>
    </pivotField>
    <pivotField showAll="0">
      <items count="13">
        <item h="1" x="8"/>
        <item h="1" x="10"/>
        <item h="1" x="9"/>
        <item h="1" x="5"/>
        <item h="1" x="1"/>
        <item h="1" x="4"/>
        <item x="2"/>
        <item h="1" x="3"/>
        <item h="1" x="6"/>
        <item h="1" x="7"/>
        <item h="1" x="0"/>
        <item h="1" x="11"/>
        <item t="default"/>
      </items>
    </pivotField>
    <pivotField axis="axisRow" showAll="0" measureFilter="1" sortType="ascending">
      <items count="53">
        <item x="11"/>
        <item x="42"/>
        <item x="30"/>
        <item x="4"/>
        <item x="38"/>
        <item x="50"/>
        <item x="10"/>
        <item x="6"/>
        <item x="12"/>
        <item x="35"/>
        <item x="41"/>
        <item x="32"/>
        <item x="21"/>
        <item x="7"/>
        <item x="24"/>
        <item x="29"/>
        <item x="13"/>
        <item x="27"/>
        <item x="47"/>
        <item x="40"/>
        <item x="14"/>
        <item x="37"/>
        <item x="17"/>
        <item x="34"/>
        <item x="46"/>
        <item x="1"/>
        <item x="39"/>
        <item x="51"/>
        <item x="31"/>
        <item x="33"/>
        <item x="25"/>
        <item x="43"/>
        <item x="0"/>
        <item x="26"/>
        <item x="45"/>
        <item x="36"/>
        <item x="22"/>
        <item x="8"/>
        <item x="3"/>
        <item x="15"/>
        <item x="16"/>
        <item x="9"/>
        <item x="2"/>
        <item x="48"/>
        <item x="28"/>
        <item x="5"/>
        <item x="44"/>
        <item x="20"/>
        <item x="49"/>
        <item x="18"/>
        <item x="23"/>
        <item x="19"/>
        <item t="default"/>
      </items>
      <autoSortScope>
        <pivotArea dataOnly="0" outline="0" fieldPosition="0">
          <references count="1">
            <reference field="4294967294" count="1" selected="0">
              <x v="0"/>
            </reference>
          </references>
        </pivotArea>
      </autoSortScope>
    </pivotField>
    <pivotField showAll="0">
      <items count="380">
        <item x="186"/>
        <item x="372"/>
        <item x="328"/>
        <item x="299"/>
        <item x="270"/>
        <item x="124"/>
        <item x="311"/>
        <item x="324"/>
        <item x="211"/>
        <item x="375"/>
        <item x="242"/>
        <item x="352"/>
        <item x="371"/>
        <item x="349"/>
        <item x="256"/>
        <item x="208"/>
        <item x="296"/>
        <item x="191"/>
        <item x="330"/>
        <item x="333"/>
        <item x="368"/>
        <item x="347"/>
        <item x="363"/>
        <item x="325"/>
        <item x="286"/>
        <item x="143"/>
        <item x="345"/>
        <item x="351"/>
        <item x="295"/>
        <item x="362"/>
        <item x="361"/>
        <item x="370"/>
        <item x="190"/>
        <item x="266"/>
        <item x="279"/>
        <item x="173"/>
        <item x="320"/>
        <item x="364"/>
        <item x="343"/>
        <item x="346"/>
        <item x="159"/>
        <item x="134"/>
        <item x="250"/>
        <item x="308"/>
        <item x="339"/>
        <item x="378"/>
        <item x="236"/>
        <item x="301"/>
        <item x="342"/>
        <item x="356"/>
        <item x="105"/>
        <item x="115"/>
        <item x="293"/>
        <item x="355"/>
        <item x="373"/>
        <item x="374"/>
        <item x="112"/>
        <item x="360"/>
        <item x="284"/>
        <item x="257"/>
        <item x="225"/>
        <item x="332"/>
        <item x="344"/>
        <item x="309"/>
        <item x="216"/>
        <item x="253"/>
        <item x="376"/>
        <item x="297"/>
        <item x="165"/>
        <item x="80"/>
        <item x="322"/>
        <item x="357"/>
        <item x="315"/>
        <item x="338"/>
        <item x="367"/>
        <item x="317"/>
        <item x="329"/>
        <item x="79"/>
        <item x="337"/>
        <item x="162"/>
        <item x="36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t="default"/>
      </items>
    </pivotField>
    <pivotField showAll="0">
      <items count="300">
        <item x="129"/>
        <item x="46"/>
        <item x="284"/>
        <item x="294"/>
        <item x="204"/>
        <item x="296"/>
        <item x="266"/>
        <item x="280"/>
        <item x="264"/>
        <item x="245"/>
        <item x="276"/>
        <item x="277"/>
        <item x="291"/>
        <item x="184"/>
        <item x="290"/>
        <item x="249"/>
        <item x="271"/>
        <item x="288"/>
        <item x="242"/>
        <item x="267"/>
        <item x="200"/>
        <item x="269"/>
        <item x="282"/>
        <item x="182"/>
        <item x="287"/>
        <item x="151"/>
        <item x="199"/>
        <item x="208"/>
        <item x="270"/>
        <item x="244"/>
        <item x="274"/>
        <item x="258"/>
        <item x="297"/>
        <item x="286"/>
        <item x="273"/>
        <item x="295"/>
        <item x="238"/>
        <item x="237"/>
        <item x="17"/>
        <item x="293"/>
        <item x="298"/>
        <item x="197"/>
        <item x="85"/>
        <item x="279"/>
        <item x="257"/>
        <item x="198"/>
        <item x="213"/>
        <item x="188"/>
        <item x="201"/>
        <item x="275"/>
        <item x="263"/>
        <item x="272"/>
        <item x="262"/>
        <item x="248"/>
        <item x="138"/>
        <item x="190"/>
        <item x="281"/>
        <item x="135"/>
        <item x="159"/>
        <item x="251"/>
        <item x="9"/>
        <item x="255"/>
        <item x="216"/>
        <item x="231"/>
        <item x="229"/>
        <item x="131"/>
        <item x="268"/>
        <item x="259"/>
        <item x="246"/>
        <item x="222"/>
        <item x="156"/>
        <item x="152"/>
        <item x="211"/>
        <item x="146"/>
        <item x="283"/>
        <item x="148"/>
        <item x="256"/>
        <item x="225"/>
        <item x="253"/>
        <item x="123"/>
        <item x="254"/>
        <item x="285"/>
        <item x="250"/>
        <item x="247"/>
        <item x="221"/>
        <item x="209"/>
        <item x="292"/>
        <item x="177"/>
        <item x="181"/>
        <item x="115"/>
        <item x="236"/>
        <item x="144"/>
        <item x="226"/>
        <item x="154"/>
        <item x="169"/>
        <item x="252"/>
        <item x="239"/>
        <item x="193"/>
        <item x="166"/>
        <item x="101"/>
        <item x="187"/>
        <item x="164"/>
        <item x="240"/>
        <item x="147"/>
        <item x="228"/>
        <item x="278"/>
        <item x="140"/>
        <item x="145"/>
        <item x="224"/>
        <item x="215"/>
        <item x="180"/>
        <item x="162"/>
        <item x="212"/>
        <item x="91"/>
        <item x="265"/>
        <item x="119"/>
        <item x="234"/>
        <item x="223"/>
        <item x="73"/>
        <item x="153"/>
        <item x="122"/>
        <item x="191"/>
        <item x="205"/>
        <item x="185"/>
        <item x="117"/>
        <item x="174"/>
        <item x="233"/>
        <item x="192"/>
        <item x="92"/>
        <item x="165"/>
        <item x="219"/>
        <item x="163"/>
        <item x="179"/>
        <item x="220"/>
        <item x="176"/>
        <item x="230"/>
        <item x="161"/>
        <item x="217"/>
        <item x="133"/>
        <item x="289"/>
        <item x="202"/>
        <item x="183"/>
        <item x="203"/>
        <item x="76"/>
        <item x="168"/>
        <item x="206"/>
        <item x="120"/>
        <item x="173"/>
        <item x="118"/>
        <item x="241"/>
        <item x="214"/>
        <item x="125"/>
        <item x="132"/>
        <item x="139"/>
        <item x="136"/>
        <item x="235"/>
        <item x="170"/>
        <item x="160"/>
        <item x="69"/>
        <item x="83"/>
        <item x="167"/>
        <item x="126"/>
        <item x="100"/>
        <item x="102"/>
        <item x="84"/>
        <item x="189"/>
        <item x="227"/>
        <item x="127"/>
        <item x="114"/>
        <item x="260"/>
        <item x="78"/>
        <item x="141"/>
        <item x="71"/>
        <item x="89"/>
        <item x="93"/>
        <item x="137"/>
        <item x="110"/>
        <item x="218"/>
        <item x="62"/>
        <item x="134"/>
        <item x="210"/>
        <item x="121"/>
        <item x="61"/>
        <item x="178"/>
        <item x="171"/>
        <item x="81"/>
        <item x="157"/>
        <item x="49"/>
        <item x="130"/>
        <item x="82"/>
        <item x="96"/>
        <item x="175"/>
        <item x="243"/>
        <item x="207"/>
        <item x="94"/>
        <item x="56"/>
        <item x="90"/>
        <item x="95"/>
        <item x="103"/>
        <item x="99"/>
        <item x="158"/>
        <item x="111"/>
        <item x="5"/>
        <item x="194"/>
        <item x="128"/>
        <item x="142"/>
        <item x="77"/>
        <item x="70"/>
        <item x="108"/>
        <item x="64"/>
        <item x="68"/>
        <item x="186"/>
        <item x="232"/>
        <item x="86"/>
        <item x="261"/>
        <item x="150"/>
        <item x="65"/>
        <item x="149"/>
        <item x="143"/>
        <item x="195"/>
        <item x="116"/>
        <item x="39"/>
        <item x="60"/>
        <item x="109"/>
        <item x="57"/>
        <item x="21"/>
        <item x="106"/>
        <item x="44"/>
        <item x="112"/>
        <item x="196"/>
        <item x="107"/>
        <item x="43"/>
        <item x="45"/>
        <item x="72"/>
        <item x="66"/>
        <item x="98"/>
        <item x="52"/>
        <item x="105"/>
        <item x="97"/>
        <item x="63"/>
        <item x="50"/>
        <item x="58"/>
        <item x="172"/>
        <item x="59"/>
        <item x="26"/>
        <item x="87"/>
        <item x="88"/>
        <item x="48"/>
        <item x="47"/>
        <item x="67"/>
        <item x="22"/>
        <item x="155"/>
        <item x="41"/>
        <item x="75"/>
        <item x="1"/>
        <item x="36"/>
        <item x="54"/>
        <item x="31"/>
        <item x="18"/>
        <item x="55"/>
        <item x="51"/>
        <item x="25"/>
        <item x="42"/>
        <item x="32"/>
        <item x="29"/>
        <item x="113"/>
        <item x="35"/>
        <item x="104"/>
        <item x="40"/>
        <item x="38"/>
        <item x="20"/>
        <item x="53"/>
        <item x="15"/>
        <item x="30"/>
        <item x="79"/>
        <item x="28"/>
        <item x="23"/>
        <item x="27"/>
        <item x="24"/>
        <item x="33"/>
        <item x="37"/>
        <item x="34"/>
        <item x="74"/>
        <item x="12"/>
        <item x="124"/>
        <item x="80"/>
        <item x="8"/>
        <item x="11"/>
        <item x="13"/>
        <item x="14"/>
        <item x="4"/>
        <item x="7"/>
        <item x="6"/>
        <item x="19"/>
        <item x="16"/>
        <item x="10"/>
        <item x="3"/>
        <item x="2"/>
        <item x="0"/>
        <item t="default"/>
      </items>
    </pivotField>
    <pivotField showAll="0"/>
    <pivotField showAll="0"/>
    <pivotField dataField="1" showAll="0">
      <items count="416">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5"/>
  </rowFields>
  <rowItems count="11">
    <i>
      <x v="44"/>
    </i>
    <i>
      <x v="11"/>
    </i>
    <i>
      <x v="2"/>
    </i>
    <i>
      <x v="50"/>
    </i>
    <i>
      <x v="9"/>
    </i>
    <i>
      <x v="42"/>
    </i>
    <i>
      <x v="25"/>
    </i>
    <i>
      <x v="13"/>
    </i>
    <i>
      <x v="38"/>
    </i>
    <i>
      <x v="32"/>
    </i>
    <i t="grand">
      <x/>
    </i>
  </rowItems>
  <colItems count="1">
    <i/>
  </colItems>
  <dataFields count="1">
    <dataField name="Sum of Global_Sales" fld="10" baseField="0" baseItem="0"/>
  </dataFields>
  <chartFormats count="3">
    <chartFormat chart="14"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5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0A0313-BB7E-4CF5-8810-8855EA23C9C9}" name="PivotTable6"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6">
  <location ref="A81:B92" firstHeaderRow="1" firstDataRow="1" firstDataCol="1"/>
  <pivotFields count="11">
    <pivotField showAll="0"/>
    <pivotField axis="axisRow" showAll="0" measureFilter="1">
      <items count="672">
        <item x="362"/>
        <item x="457"/>
        <item x="373"/>
        <item x="375"/>
        <item x="194"/>
        <item x="412"/>
        <item x="64"/>
        <item x="37"/>
        <item x="514"/>
        <item x="143"/>
        <item x="141"/>
        <item x="115"/>
        <item x="263"/>
        <item x="353"/>
        <item x="322"/>
        <item x="225"/>
        <item x="260"/>
        <item x="220"/>
        <item x="554"/>
        <item x="630"/>
        <item x="296"/>
        <item x="363"/>
        <item x="224"/>
        <item x="144"/>
        <item x="277"/>
        <item x="563"/>
        <item x="90"/>
        <item x="291"/>
        <item x="326"/>
        <item x="669"/>
        <item x="110"/>
        <item x="275"/>
        <item x="443"/>
        <item x="617"/>
        <item x="568"/>
        <item x="330"/>
        <item x="390"/>
        <item x="26"/>
        <item x="19"/>
        <item x="484"/>
        <item x="488"/>
        <item x="475"/>
        <item x="61"/>
        <item x="84"/>
        <item x="30"/>
        <item x="32"/>
        <item x="33"/>
        <item x="431"/>
        <item x="53"/>
        <item x="34"/>
        <item x="28"/>
        <item x="642"/>
        <item x="89"/>
        <item x="245"/>
        <item x="589"/>
        <item x="374"/>
        <item x="324"/>
        <item x="435"/>
        <item x="441"/>
        <item x="139"/>
        <item x="309"/>
        <item x="425"/>
        <item x="606"/>
        <item x="590"/>
        <item x="105"/>
        <item x="86"/>
        <item x="95"/>
        <item x="150"/>
        <item x="338"/>
        <item x="189"/>
        <item x="523"/>
        <item x="366"/>
        <item x="313"/>
        <item x="369"/>
        <item x="648"/>
        <item x="612"/>
        <item x="228"/>
        <item x="564"/>
        <item x="665"/>
        <item x="520"/>
        <item x="647"/>
        <item x="664"/>
        <item x="140"/>
        <item x="411"/>
        <item x="663"/>
        <item x="618"/>
        <item x="161"/>
        <item x="185"/>
        <item x="555"/>
        <item x="608"/>
        <item x="392"/>
        <item x="156"/>
        <item x="62"/>
        <item x="165"/>
        <item x="321"/>
        <item x="113"/>
        <item x="261"/>
        <item x="576"/>
        <item x="307"/>
        <item x="152"/>
        <item x="515"/>
        <item x="387"/>
        <item x="553"/>
        <item x="405"/>
        <item x="135"/>
        <item x="459"/>
        <item x="368"/>
        <item x="207"/>
        <item x="160"/>
        <item x="526"/>
        <item x="518"/>
        <item x="267"/>
        <item x="384"/>
        <item x="577"/>
        <item x="124"/>
        <item x="191"/>
        <item x="9"/>
        <item x="657"/>
        <item x="259"/>
        <item x="346"/>
        <item x="370"/>
        <item x="396"/>
        <item x="499"/>
        <item x="236"/>
        <item x="231"/>
        <item x="336"/>
        <item x="489"/>
        <item x="221"/>
        <item x="169"/>
        <item x="181"/>
        <item x="98"/>
        <item x="247"/>
        <item x="328"/>
        <item x="253"/>
        <item x="651"/>
        <item x="109"/>
        <item x="101"/>
        <item x="112"/>
        <item x="68"/>
        <item x="190"/>
        <item x="230"/>
        <item x="242"/>
        <item x="379"/>
        <item x="506"/>
        <item x="302"/>
        <item x="174"/>
        <item x="73"/>
        <item x="337"/>
        <item x="325"/>
        <item x="289"/>
        <item x="334"/>
        <item x="154"/>
        <item x="543"/>
        <item x="650"/>
        <item x="542"/>
        <item x="58"/>
        <item x="78"/>
        <item x="77"/>
        <item x="155"/>
        <item x="133"/>
        <item x="151"/>
        <item x="487"/>
        <item x="448"/>
        <item x="271"/>
        <item x="249"/>
        <item x="145"/>
        <item x="196"/>
        <item x="631"/>
        <item x="293"/>
        <item x="237"/>
        <item x="560"/>
        <item x="439"/>
        <item x="525"/>
        <item x="127"/>
        <item x="107"/>
        <item x="126"/>
        <item x="403"/>
        <item x="510"/>
        <item x="209"/>
        <item x="498"/>
        <item x="248"/>
        <item x="187"/>
        <item x="594"/>
        <item x="367"/>
        <item x="75"/>
        <item x="255"/>
        <item x="47"/>
        <item x="356"/>
        <item x="60"/>
        <item x="27"/>
        <item x="42"/>
        <item x="49"/>
        <item x="233"/>
        <item x="299"/>
        <item x="585"/>
        <item x="333"/>
        <item x="35"/>
        <item x="46"/>
        <item x="16"/>
        <item x="81"/>
        <item x="17"/>
        <item x="23"/>
        <item x="173"/>
        <item x="592"/>
        <item x="565"/>
        <item x="171"/>
        <item x="180"/>
        <item x="327"/>
        <item x="298"/>
        <item x="240"/>
        <item x="571"/>
        <item x="70"/>
        <item x="39"/>
        <item x="120"/>
        <item x="57"/>
        <item x="222"/>
        <item x="497"/>
        <item x="116"/>
        <item x="545"/>
        <item x="54"/>
        <item x="378"/>
        <item x="490"/>
        <item x="503"/>
        <item x="285"/>
        <item x="385"/>
        <item x="623"/>
        <item x="417"/>
        <item x="628"/>
        <item x="455"/>
        <item x="430"/>
        <item x="551"/>
        <item x="434"/>
        <item x="451"/>
        <item x="421"/>
        <item x="465"/>
        <item x="300"/>
        <item x="464"/>
        <item x="316"/>
        <item x="586"/>
        <item x="347"/>
        <item x="92"/>
        <item x="59"/>
        <item x="282"/>
        <item x="596"/>
        <item x="52"/>
        <item x="100"/>
        <item x="583"/>
        <item x="364"/>
        <item x="399"/>
        <item x="456"/>
        <item x="509"/>
        <item x="15"/>
        <item x="125"/>
        <item x="574"/>
        <item x="566"/>
        <item x="118"/>
        <item x="219"/>
        <item x="416"/>
        <item x="603"/>
        <item x="168"/>
        <item x="575"/>
        <item x="653"/>
        <item x="627"/>
        <item x="323"/>
        <item x="395"/>
        <item x="359"/>
        <item x="320"/>
        <item x="257"/>
        <item x="339"/>
        <item x="532"/>
        <item x="279"/>
        <item x="591"/>
        <item x="480"/>
        <item x="136"/>
        <item x="317"/>
        <item x="179"/>
        <item x="134"/>
        <item x="332"/>
        <item x="310"/>
        <item x="201"/>
        <item x="184"/>
        <item x="205"/>
        <item x="516"/>
        <item x="521"/>
        <item x="444"/>
        <item x="481"/>
        <item x="479"/>
        <item x="436"/>
        <item x="360"/>
        <item x="388"/>
        <item x="238"/>
        <item x="159"/>
        <item x="203"/>
        <item x="632"/>
        <item x="644"/>
        <item x="274"/>
        <item x="634"/>
        <item x="278"/>
        <item x="76"/>
        <item x="200"/>
        <item x="598"/>
        <item x="55"/>
        <item x="38"/>
        <item x="97"/>
        <item x="11"/>
        <item x="2"/>
        <item x="99"/>
        <item x="148"/>
        <item x="472"/>
        <item x="478"/>
        <item x="530"/>
        <item x="539"/>
        <item x="71"/>
        <item x="349"/>
        <item x="65"/>
        <item x="656"/>
        <item x="500"/>
        <item x="584"/>
        <item x="482"/>
        <item x="528"/>
        <item x="423"/>
        <item x="386"/>
        <item x="394"/>
        <item x="351"/>
        <item x="445"/>
        <item x="492"/>
        <item x="103"/>
        <item x="167"/>
        <item x="131"/>
        <item x="128"/>
        <item x="227"/>
        <item x="130"/>
        <item x="340"/>
        <item x="670"/>
        <item x="474"/>
        <item x="447"/>
        <item x="211"/>
        <item x="170"/>
        <item x="407"/>
        <item x="295"/>
        <item x="541"/>
        <item x="495"/>
        <item x="401"/>
        <item x="63"/>
        <item x="471"/>
        <item x="562"/>
        <item x="329"/>
        <item x="264"/>
        <item x="511"/>
        <item x="186"/>
        <item x="146"/>
        <item x="463"/>
        <item x="357"/>
        <item x="438"/>
        <item x="460"/>
        <item x="477"/>
        <item x="533"/>
        <item x="265"/>
        <item x="580"/>
        <item x="292"/>
        <item x="449"/>
        <item x="226"/>
        <item x="272"/>
        <item x="251"/>
        <item x="258"/>
        <item x="666"/>
        <item x="501"/>
        <item x="404"/>
        <item x="538"/>
        <item x="569"/>
        <item x="269"/>
        <item x="508"/>
        <item x="461"/>
        <item x="561"/>
        <item x="546"/>
        <item x="381"/>
        <item x="93"/>
        <item x="102"/>
        <item x="588"/>
        <item x="450"/>
        <item x="655"/>
        <item x="216"/>
        <item x="661"/>
        <item x="556"/>
        <item x="486"/>
        <item x="613"/>
        <item x="6"/>
        <item x="56"/>
        <item x="162"/>
        <item x="8"/>
        <item x="210"/>
        <item x="10"/>
        <item x="276"/>
        <item x="605"/>
        <item x="476"/>
        <item x="80"/>
        <item x="422"/>
        <item x="496"/>
        <item x="600"/>
        <item x="607"/>
        <item x="658"/>
        <item x="524"/>
        <item x="383"/>
        <item x="529"/>
        <item x="204"/>
        <item x="519"/>
        <item x="119"/>
        <item x="117"/>
        <item x="79"/>
        <item x="473"/>
        <item x="290"/>
        <item x="29"/>
        <item x="72"/>
        <item x="25"/>
        <item x="20"/>
        <item x="51"/>
        <item x="12"/>
        <item x="40"/>
        <item x="182"/>
        <item x="44"/>
        <item x="153"/>
        <item x="633"/>
        <item x="593"/>
        <item x="4"/>
        <item x="24"/>
        <item x="301"/>
        <item x="149"/>
        <item x="31"/>
        <item x="662"/>
        <item x="614"/>
        <item x="303"/>
        <item x="595"/>
        <item x="552"/>
        <item x="624"/>
        <item x="558"/>
        <item x="621"/>
        <item x="157"/>
        <item x="256"/>
        <item x="462"/>
        <item x="344"/>
        <item x="654"/>
        <item x="660"/>
        <item x="535"/>
        <item x="645"/>
        <item x="348"/>
        <item x="507"/>
        <item x="466"/>
        <item x="281"/>
        <item x="513"/>
        <item x="398"/>
        <item x="111"/>
        <item x="175"/>
        <item x="581"/>
        <item x="137"/>
        <item x="287"/>
        <item x="304"/>
        <item x="172"/>
        <item x="377"/>
        <item x="280"/>
        <item x="534"/>
        <item x="217"/>
        <item x="372"/>
        <item x="548"/>
        <item x="537"/>
        <item x="619"/>
        <item x="531"/>
        <item x="318"/>
        <item x="345"/>
        <item x="625"/>
        <item x="397"/>
        <item x="470"/>
        <item x="659"/>
        <item x="615"/>
        <item x="428"/>
        <item x="646"/>
        <item x="483"/>
        <item x="491"/>
        <item x="578"/>
        <item x="442"/>
        <item x="419"/>
        <item x="297"/>
        <item x="609"/>
        <item x="550"/>
        <item x="517"/>
        <item x="469"/>
        <item x="415"/>
        <item x="427"/>
        <item x="376"/>
        <item x="218"/>
        <item x="129"/>
        <item x="622"/>
        <item x="601"/>
        <item x="522"/>
        <item x="380"/>
        <item x="335"/>
        <item x="206"/>
        <item x="202"/>
        <item x="268"/>
        <item x="319"/>
        <item x="178"/>
        <item x="610"/>
        <item x="288"/>
        <item x="408"/>
        <item x="254"/>
        <item x="83"/>
        <item x="382"/>
        <item x="350"/>
        <item x="306"/>
        <item x="311"/>
        <item x="626"/>
        <item x="635"/>
        <item x="494"/>
        <item x="453"/>
        <item x="414"/>
        <item x="188"/>
        <item x="244"/>
        <item x="122"/>
        <item x="234"/>
        <item x="505"/>
        <item x="502"/>
        <item x="48"/>
        <item x="223"/>
        <item x="41"/>
        <item x="147"/>
        <item x="50"/>
        <item x="504"/>
        <item x="1"/>
        <item x="87"/>
        <item x="22"/>
        <item x="493"/>
        <item x="43"/>
        <item x="82"/>
        <item x="67"/>
        <item x="21"/>
        <item x="45"/>
        <item x="163"/>
        <item x="371"/>
        <item x="643"/>
        <item x="121"/>
        <item x="18"/>
        <item x="241"/>
        <item x="602"/>
        <item x="284"/>
        <item x="142"/>
        <item x="36"/>
        <item x="88"/>
        <item x="96"/>
        <item x="433"/>
        <item x="639"/>
        <item x="235"/>
        <item x="611"/>
        <item x="358"/>
        <item x="138"/>
        <item x="94"/>
        <item x="331"/>
        <item x="266"/>
        <item x="467"/>
        <item x="252"/>
        <item x="636"/>
        <item x="5"/>
        <item x="649"/>
        <item x="557"/>
        <item x="437"/>
        <item x="214"/>
        <item x="66"/>
        <item x="314"/>
        <item x="572"/>
        <item x="132"/>
        <item x="114"/>
        <item x="391"/>
        <item x="198"/>
        <item x="273"/>
        <item x="616"/>
        <item x="343"/>
        <item x="582"/>
        <item x="85"/>
        <item x="164"/>
        <item x="243"/>
        <item x="341"/>
        <item x="199"/>
        <item x="91"/>
        <item x="352"/>
        <item x="195"/>
        <item x="192"/>
        <item x="308"/>
        <item x="468"/>
        <item x="668"/>
        <item x="74"/>
        <item x="413"/>
        <item x="547"/>
        <item x="637"/>
        <item x="409"/>
        <item x="283"/>
        <item x="393"/>
        <item x="286"/>
        <item x="559"/>
        <item x="426"/>
        <item x="599"/>
        <item x="640"/>
        <item x="549"/>
        <item x="400"/>
        <item x="305"/>
        <item x="197"/>
        <item x="527"/>
        <item x="158"/>
        <item x="315"/>
        <item x="536"/>
        <item x="166"/>
        <item x="176"/>
        <item x="193"/>
        <item x="212"/>
        <item x="294"/>
        <item x="262"/>
        <item x="573"/>
        <item x="652"/>
        <item x="354"/>
        <item x="544"/>
        <item x="540"/>
        <item x="108"/>
        <item x="104"/>
        <item x="232"/>
        <item x="183"/>
        <item x="208"/>
        <item x="641"/>
        <item x="229"/>
        <item x="620"/>
        <item x="604"/>
        <item x="587"/>
        <item x="424"/>
        <item x="177"/>
        <item x="239"/>
        <item x="418"/>
        <item x="567"/>
        <item x="13"/>
        <item x="14"/>
        <item x="355"/>
        <item x="69"/>
        <item x="7"/>
        <item x="0"/>
        <item x="3"/>
        <item x="213"/>
        <item x="667"/>
        <item x="389"/>
        <item x="123"/>
        <item x="246"/>
        <item x="410"/>
        <item x="429"/>
        <item x="270"/>
        <item x="250"/>
        <item x="579"/>
        <item x="406"/>
        <item x="512"/>
        <item x="452"/>
        <item x="402"/>
        <item x="446"/>
        <item x="420"/>
        <item x="312"/>
        <item x="365"/>
        <item x="458"/>
        <item x="342"/>
        <item x="361"/>
        <item x="485"/>
        <item x="597"/>
        <item x="454"/>
        <item x="440"/>
        <item x="638"/>
        <item x="570"/>
        <item x="629"/>
        <item x="215"/>
        <item x="106"/>
        <item x="432"/>
        <item t="default"/>
      </items>
    </pivotField>
    <pivotField showAll="0">
      <items count="24">
        <item x="15"/>
        <item x="9"/>
        <item x="21"/>
        <item x="3"/>
        <item x="2"/>
        <item x="8"/>
        <item x="18"/>
        <item x="20"/>
        <item x="11"/>
        <item x="1"/>
        <item x="14"/>
        <item x="12"/>
        <item x="6"/>
        <item x="5"/>
        <item x="10"/>
        <item x="16"/>
        <item x="22"/>
        <item x="7"/>
        <item x="0"/>
        <item x="19"/>
        <item x="4"/>
        <item x="13"/>
        <item x="17"/>
        <item t="default"/>
      </items>
    </pivotField>
    <pivotField showAll="0"/>
    <pivotField showAll="0">
      <items count="13">
        <item h="1" x="8"/>
        <item h="1" x="10"/>
        <item h="1" x="9"/>
        <item h="1" x="5"/>
        <item h="1" x="1"/>
        <item h="1" x="4"/>
        <item x="2"/>
        <item h="1" x="3"/>
        <item h="1" x="6"/>
        <item h="1" x="7"/>
        <item h="1" x="0"/>
        <item h="1" x="11"/>
        <item t="default"/>
      </items>
    </pivotField>
    <pivotField showAll="0"/>
    <pivotField dataField="1" showAll="0"/>
    <pivotField showAll="0"/>
    <pivotField showAll="0"/>
    <pivotField showAll="0"/>
    <pivotField showAll="0"/>
  </pivotFields>
  <rowFields count="1">
    <field x="1"/>
  </rowFields>
  <rowItems count="11">
    <i>
      <x v="186"/>
    </i>
    <i>
      <x v="188"/>
    </i>
    <i>
      <x v="189"/>
    </i>
    <i>
      <x v="301"/>
    </i>
    <i>
      <x v="302"/>
    </i>
    <i>
      <x v="304"/>
    </i>
    <i>
      <x v="305"/>
    </i>
    <i>
      <x v="306"/>
    </i>
    <i>
      <x v="377"/>
    </i>
    <i>
      <x v="532"/>
    </i>
    <i t="grand">
      <x/>
    </i>
  </rowItems>
  <colItems count="1">
    <i/>
  </colItems>
  <dataFields count="1">
    <dataField name="Sum of NA_Sales" fld="6" baseField="0" baseItem="0"/>
  </dataFields>
  <chartFormats count="7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9"/>
          </reference>
        </references>
      </pivotArea>
    </chartFormat>
    <chartFormat chart="0" format="2">
      <pivotArea type="data" outline="0" fieldPosition="0">
        <references count="2">
          <reference field="4294967294" count="1" selected="0">
            <x v="0"/>
          </reference>
          <reference field="1" count="1" selected="0">
            <x v="55"/>
          </reference>
        </references>
      </pivotArea>
    </chartFormat>
    <chartFormat chart="0" format="3">
      <pivotArea type="data" outline="0" fieldPosition="0">
        <references count="2">
          <reference field="4294967294" count="1" selected="0">
            <x v="0"/>
          </reference>
          <reference field="1" count="1" selected="0">
            <x v="170"/>
          </reference>
        </references>
      </pivotArea>
    </chartFormat>
    <chartFormat chart="0" format="4">
      <pivotArea type="data" outline="0" fieldPosition="0">
        <references count="2">
          <reference field="4294967294" count="1" selected="0">
            <x v="0"/>
          </reference>
          <reference field="1" count="1" selected="0">
            <x v="224"/>
          </reference>
        </references>
      </pivotArea>
    </chartFormat>
    <chartFormat chart="0" format="5">
      <pivotArea type="data" outline="0" fieldPosition="0">
        <references count="2">
          <reference field="4294967294" count="1" selected="0">
            <x v="0"/>
          </reference>
          <reference field="1" count="1" selected="0">
            <x v="265"/>
          </reference>
        </references>
      </pivotArea>
    </chartFormat>
    <chartFormat chart="0" format="6">
      <pivotArea type="data" outline="0" fieldPosition="0">
        <references count="2">
          <reference field="4294967294" count="1" selected="0">
            <x v="0"/>
          </reference>
          <reference field="1" count="1" selected="0">
            <x v="462"/>
          </reference>
        </references>
      </pivotArea>
    </chartFormat>
    <chartFormat chart="0" format="7">
      <pivotArea type="data" outline="0" fieldPosition="0">
        <references count="2">
          <reference field="4294967294" count="1" selected="0">
            <x v="0"/>
          </reference>
          <reference field="1" count="1" selected="0">
            <x v="467"/>
          </reference>
        </references>
      </pivotArea>
    </chartFormat>
    <chartFormat chart="0" format="8">
      <pivotArea type="data" outline="0" fieldPosition="0">
        <references count="2">
          <reference field="4294967294" count="1" selected="0">
            <x v="0"/>
          </reference>
          <reference field="1" count="1" selected="0">
            <x v="534"/>
          </reference>
        </references>
      </pivotArea>
    </chartFormat>
    <chartFormat chart="0" format="9">
      <pivotArea type="data" outline="0" fieldPosition="0">
        <references count="2">
          <reference field="4294967294" count="1" selected="0">
            <x v="0"/>
          </reference>
          <reference field="1" count="1" selected="0">
            <x v="572"/>
          </reference>
        </references>
      </pivotArea>
    </chartFormat>
    <chartFormat chart="0" format="10">
      <pivotArea type="data" outline="0" fieldPosition="0">
        <references count="2">
          <reference field="4294967294" count="1" selected="0">
            <x v="0"/>
          </reference>
          <reference field="1" count="1" selected="0">
            <x v="668"/>
          </reference>
        </references>
      </pivotArea>
    </chartFormat>
    <chartFormat chart="0" format="11">
      <pivotArea type="data" outline="0" fieldPosition="0">
        <references count="2">
          <reference field="4294967294" count="1" selected="0">
            <x v="0"/>
          </reference>
          <reference field="1" count="1" selected="0">
            <x v="38"/>
          </reference>
        </references>
      </pivotArea>
    </chartFormat>
    <chartFormat chart="0" format="12">
      <pivotArea type="data" outline="0" fieldPosition="0">
        <references count="2">
          <reference field="4294967294" count="1" selected="0">
            <x v="0"/>
          </reference>
          <reference field="1" count="1" selected="0">
            <x v="205"/>
          </reference>
        </references>
      </pivotArea>
    </chartFormat>
    <chartFormat chart="0" format="13">
      <pivotArea type="data" outline="0" fieldPosition="0">
        <references count="2">
          <reference field="4294967294" count="1" selected="0">
            <x v="0"/>
          </reference>
          <reference field="1" count="1" selected="0">
            <x v="206"/>
          </reference>
        </references>
      </pivotArea>
    </chartFormat>
    <chartFormat chart="0" format="14">
      <pivotArea type="data" outline="0" fieldPosition="0">
        <references count="2">
          <reference field="4294967294" count="1" selected="0">
            <x v="0"/>
          </reference>
          <reference field="1" count="1" selected="0">
            <x v="241"/>
          </reference>
        </references>
      </pivotArea>
    </chartFormat>
    <chartFormat chart="0" format="15">
      <pivotArea type="data" outline="0" fieldPosition="0">
        <references count="2">
          <reference field="4294967294" count="1" selected="0">
            <x v="0"/>
          </reference>
          <reference field="1" count="1" selected="0">
            <x v="244"/>
          </reference>
        </references>
      </pivotArea>
    </chartFormat>
    <chartFormat chart="0" format="16">
      <pivotArea type="data" outline="0" fieldPosition="0">
        <references count="2">
          <reference field="4294967294" count="1" selected="0">
            <x v="0"/>
          </reference>
          <reference field="1" count="1" selected="0">
            <x v="245"/>
          </reference>
        </references>
      </pivotArea>
    </chartFormat>
    <chartFormat chart="0" format="17">
      <pivotArea type="data" outline="0" fieldPosition="0">
        <references count="2">
          <reference field="4294967294" count="1" selected="0">
            <x v="0"/>
          </reference>
          <reference field="1" count="1" selected="0">
            <x v="251"/>
          </reference>
        </references>
      </pivotArea>
    </chartFormat>
    <chartFormat chart="0" format="18">
      <pivotArea type="data" outline="0" fieldPosition="0">
        <references count="2">
          <reference field="4294967294" count="1" selected="0">
            <x v="0"/>
          </reference>
          <reference field="1" count="1" selected="0">
            <x v="314"/>
          </reference>
        </references>
      </pivotArea>
    </chartFormat>
    <chartFormat chart="0" format="19">
      <pivotArea type="data" outline="0" fieldPosition="0">
        <references count="2">
          <reference field="4294967294" count="1" selected="0">
            <x v="0"/>
          </reference>
          <reference field="1" count="1" selected="0">
            <x v="343"/>
          </reference>
        </references>
      </pivotArea>
    </chartFormat>
    <chartFormat chart="0" format="20">
      <pivotArea type="data" outline="0" fieldPosition="0">
        <references count="2">
          <reference field="4294967294" count="1" selected="0">
            <x v="0"/>
          </reference>
          <reference field="1" count="1" selected="0">
            <x v="637"/>
          </reference>
        </references>
      </pivotArea>
    </chartFormat>
    <chartFormat chart="0" format="21">
      <pivotArea type="data" outline="0" fieldPosition="0">
        <references count="2">
          <reference field="4294967294" count="1" selected="0">
            <x v="0"/>
          </reference>
          <reference field="1" count="1" selected="0">
            <x v="44"/>
          </reference>
        </references>
      </pivotArea>
    </chartFormat>
    <chartFormat chart="0" format="22">
      <pivotArea type="data" outline="0" fieldPosition="0">
        <references count="2">
          <reference field="4294967294" count="1" selected="0">
            <x v="0"/>
          </reference>
          <reference field="1" count="1" selected="0">
            <x v="116"/>
          </reference>
        </references>
      </pivotArea>
    </chartFormat>
    <chartFormat chart="0" format="23">
      <pivotArea type="data" outline="0" fieldPosition="0">
        <references count="2">
          <reference field="4294967294" count="1" selected="0">
            <x v="0"/>
          </reference>
          <reference field="1" count="1" selected="0">
            <x v="198"/>
          </reference>
        </references>
      </pivotArea>
    </chartFormat>
    <chartFormat chart="0" format="24">
      <pivotArea type="data" outline="0" fieldPosition="0">
        <references count="2">
          <reference field="4294967294" count="1" selected="0">
            <x v="0"/>
          </reference>
          <reference field="1" count="1" selected="0">
            <x v="305"/>
          </reference>
        </references>
      </pivotArea>
    </chartFormat>
    <chartFormat chart="0" format="25">
      <pivotArea type="data" outline="0" fieldPosition="0">
        <references count="2">
          <reference field="4294967294" count="1" selected="0">
            <x v="0"/>
          </reference>
          <reference field="1" count="1" selected="0">
            <x v="526"/>
          </reference>
        </references>
      </pivotArea>
    </chartFormat>
    <chartFormat chart="0" format="26">
      <pivotArea type="data" outline="0" fieldPosition="0">
        <references count="2">
          <reference field="4294967294" count="1" selected="0">
            <x v="0"/>
          </reference>
          <reference field="1" count="1" selected="0">
            <x v="539"/>
          </reference>
        </references>
      </pivotArea>
    </chartFormat>
    <chartFormat chart="0" format="27">
      <pivotArea type="data" outline="0" fieldPosition="0">
        <references count="2">
          <reference field="4294967294" count="1" selected="0">
            <x v="0"/>
          </reference>
          <reference field="1" count="1" selected="0">
            <x v="559"/>
          </reference>
        </references>
      </pivotArea>
    </chartFormat>
    <chartFormat chart="0" format="28">
      <pivotArea type="data" outline="0" fieldPosition="0">
        <references count="2">
          <reference field="4294967294" count="1" selected="0">
            <x v="0"/>
          </reference>
          <reference field="1" count="1" selected="0">
            <x v="638"/>
          </reference>
        </references>
      </pivotArea>
    </chartFormat>
    <chartFormat chart="0" format="29">
      <pivotArea type="data" outline="0" fieldPosition="0">
        <references count="2">
          <reference field="4294967294" count="1" selected="0">
            <x v="0"/>
          </reference>
          <reference field="1" count="1" selected="0">
            <x v="639"/>
          </reference>
        </references>
      </pivotArea>
    </chartFormat>
    <chartFormat chart="0" format="30">
      <pivotArea type="data" outline="0" fieldPosition="0">
        <references count="2">
          <reference field="4294967294" count="1" selected="0">
            <x v="0"/>
          </reference>
          <reference field="1" count="1" selected="0">
            <x v="92"/>
          </reference>
        </references>
      </pivotArea>
    </chartFormat>
    <chartFormat chart="0" format="31">
      <pivotArea type="data" outline="0" fieldPosition="0">
        <references count="2">
          <reference field="4294967294" count="1" selected="0">
            <x v="0"/>
          </reference>
          <reference field="1" count="1" selected="0">
            <x v="386"/>
          </reference>
        </references>
      </pivotArea>
    </chartFormat>
    <chartFormat chart="0" format="32">
      <pivotArea type="data" outline="0" fieldPosition="0">
        <references count="2">
          <reference field="4294967294" count="1" selected="0">
            <x v="0"/>
          </reference>
          <reference field="1" count="1" selected="0">
            <x v="389"/>
          </reference>
        </references>
      </pivotArea>
    </chartFormat>
    <chartFormat chart="0" format="33">
      <pivotArea type="data" outline="0" fieldPosition="0">
        <references count="2">
          <reference field="4294967294" count="1" selected="0">
            <x v="0"/>
          </reference>
          <reference field="1" count="1" selected="0">
            <x v="522"/>
          </reference>
        </references>
      </pivotArea>
    </chartFormat>
    <chartFormat chart="0" format="34">
      <pivotArea type="data" outline="0" fieldPosition="0">
        <references count="2">
          <reference field="4294967294" count="1" selected="0">
            <x v="0"/>
          </reference>
          <reference field="1" count="1" selected="0">
            <x v="524"/>
          </reference>
        </references>
      </pivotArea>
    </chartFormat>
    <chartFormat chart="0" format="35">
      <pivotArea type="data" outline="0" fieldPosition="0">
        <references count="2">
          <reference field="4294967294" count="1" selected="0">
            <x v="0"/>
          </reference>
          <reference field="1" count="1" selected="0">
            <x v="528"/>
          </reference>
        </references>
      </pivotArea>
    </chartFormat>
    <chartFormat chart="0" format="36">
      <pivotArea type="data" outline="0" fieldPosition="0">
        <references count="2">
          <reference field="4294967294" count="1" selected="0">
            <x v="0"/>
          </reference>
          <reference field="1" count="1" selected="0">
            <x v="530"/>
          </reference>
        </references>
      </pivotArea>
    </chartFormat>
    <chartFormat chart="0" format="37">
      <pivotArea type="data" outline="0" fieldPosition="0">
        <references count="2">
          <reference field="4294967294" count="1" selected="0">
            <x v="0"/>
          </reference>
          <reference field="1" count="1" selected="0">
            <x v="533"/>
          </reference>
        </references>
      </pivotArea>
    </chartFormat>
    <chartFormat chart="25" format="86" series="1">
      <pivotArea type="data" outline="0" fieldPosition="0">
        <references count="1">
          <reference field="4294967294" count="1" selected="0">
            <x v="0"/>
          </reference>
        </references>
      </pivotArea>
    </chartFormat>
    <chartFormat chart="0" format="38">
      <pivotArea type="data" outline="0" fieldPosition="0">
        <references count="2">
          <reference field="4294967294" count="1" selected="0">
            <x v="0"/>
          </reference>
          <reference field="1" count="1" selected="0">
            <x v="247"/>
          </reference>
        </references>
      </pivotArea>
    </chartFormat>
    <chartFormat chart="0" format="39">
      <pivotArea type="data" outline="0" fieldPosition="0">
        <references count="2">
          <reference field="4294967294" count="1" selected="0">
            <x v="0"/>
          </reference>
          <reference field="1" count="1" selected="0">
            <x v="353"/>
          </reference>
        </references>
      </pivotArea>
    </chartFormat>
    <chartFormat chart="0" format="40">
      <pivotArea type="data" outline="0" fieldPosition="0">
        <references count="2">
          <reference field="4294967294" count="1" selected="0">
            <x v="0"/>
          </reference>
          <reference field="1" count="1" selected="0">
            <x v="516"/>
          </reference>
        </references>
      </pivotArea>
    </chartFormat>
    <chartFormat chart="0" format="41">
      <pivotArea type="data" outline="0" fieldPosition="0">
        <references count="2">
          <reference field="4294967294" count="1" selected="0">
            <x v="0"/>
          </reference>
          <reference field="1" count="1" selected="0">
            <x v="517"/>
          </reference>
        </references>
      </pivotArea>
    </chartFormat>
    <chartFormat chart="0" format="42">
      <pivotArea type="data" outline="0" fieldPosition="0">
        <references count="2">
          <reference field="4294967294" count="1" selected="0">
            <x v="0"/>
          </reference>
          <reference field="1" count="1" selected="0">
            <x v="543"/>
          </reference>
        </references>
      </pivotArea>
    </chartFormat>
    <chartFormat chart="0" format="43">
      <pivotArea type="data" outline="0" fieldPosition="0">
        <references count="2">
          <reference field="4294967294" count="1" selected="0">
            <x v="0"/>
          </reference>
          <reference field="1" count="1" selected="0">
            <x v="544"/>
          </reference>
        </references>
      </pivotArea>
    </chartFormat>
    <chartFormat chart="0" format="44">
      <pivotArea type="data" outline="0" fieldPosition="0">
        <references count="2">
          <reference field="4294967294" count="1" selected="0">
            <x v="0"/>
          </reference>
          <reference field="1" count="1" selected="0">
            <x v="545"/>
          </reference>
        </references>
      </pivotArea>
    </chartFormat>
    <chartFormat chart="0" format="45">
      <pivotArea type="data" outline="0" fieldPosition="0">
        <references count="2">
          <reference field="4294967294" count="1" selected="0">
            <x v="0"/>
          </reference>
          <reference field="1" count="1" selected="0">
            <x v="546"/>
          </reference>
        </references>
      </pivotArea>
    </chartFormat>
    <chartFormat chart="0" format="46">
      <pivotArea type="data" outline="0" fieldPosition="0">
        <references count="2">
          <reference field="4294967294" count="1" selected="0">
            <x v="0"/>
          </reference>
          <reference field="1" count="1" selected="0">
            <x v="552"/>
          </reference>
        </references>
      </pivotArea>
    </chartFormat>
    <chartFormat chart="0" format="47">
      <pivotArea type="data" outline="0" fieldPosition="0">
        <references count="2">
          <reference field="4294967294" count="1" selected="0">
            <x v="0"/>
          </reference>
          <reference field="1" count="1" selected="0">
            <x v="553"/>
          </reference>
        </references>
      </pivotArea>
    </chartFormat>
    <chartFormat chart="0" format="48">
      <pivotArea type="data" outline="0" fieldPosition="0">
        <references count="2">
          <reference field="4294967294" count="1" selected="0">
            <x v="0"/>
          </reference>
          <reference field="1" count="1" selected="0">
            <x v="659"/>
          </reference>
        </references>
      </pivotArea>
    </chartFormat>
    <chartFormat chart="0" format="49">
      <pivotArea type="data" outline="0" fieldPosition="0">
        <references count="2">
          <reference field="4294967294" count="1" selected="0">
            <x v="0"/>
          </reference>
          <reference field="1" count="1" selected="0">
            <x v="129"/>
          </reference>
        </references>
      </pivotArea>
    </chartFormat>
    <chartFormat chart="0" format="50">
      <pivotArea type="data" outline="0" fieldPosition="0">
        <references count="2">
          <reference field="4294967294" count="1" selected="0">
            <x v="0"/>
          </reference>
          <reference field="1" count="1" selected="0">
            <x v="130"/>
          </reference>
        </references>
      </pivotArea>
    </chartFormat>
    <chartFormat chart="0" format="51">
      <pivotArea type="data" outline="0" fieldPosition="0">
        <references count="2">
          <reference field="4294967294" count="1" selected="0">
            <x v="0"/>
          </reference>
          <reference field="1" count="1" selected="0">
            <x v="411"/>
          </reference>
        </references>
      </pivotArea>
    </chartFormat>
    <chartFormat chart="0" format="52">
      <pivotArea type="data" outline="0" fieldPosition="0">
        <references count="2">
          <reference field="4294967294" count="1" selected="0">
            <x v="0"/>
          </reference>
          <reference field="1" count="1" selected="0">
            <x v="413"/>
          </reference>
        </references>
      </pivotArea>
    </chartFormat>
    <chartFormat chart="0" format="53">
      <pivotArea type="data" outline="0" fieldPosition="0">
        <references count="2">
          <reference field="4294967294" count="1" selected="0">
            <x v="0"/>
          </reference>
          <reference field="1" count="1" selected="0">
            <x v="414"/>
          </reference>
        </references>
      </pivotArea>
    </chartFormat>
    <chartFormat chart="0" format="54">
      <pivotArea type="data" outline="0" fieldPosition="0">
        <references count="2">
          <reference field="4294967294" count="1" selected="0">
            <x v="0"/>
          </reference>
          <reference field="1" count="1" selected="0">
            <x v="416"/>
          </reference>
        </references>
      </pivotArea>
    </chartFormat>
    <chartFormat chart="0" format="55">
      <pivotArea type="data" outline="0" fieldPosition="0">
        <references count="2">
          <reference field="4294967294" count="1" selected="0">
            <x v="0"/>
          </reference>
          <reference field="1" count="1" selected="0">
            <x v="423"/>
          </reference>
        </references>
      </pivotArea>
    </chartFormat>
    <chartFormat chart="0" format="56">
      <pivotArea type="data" outline="0" fieldPosition="0">
        <references count="2">
          <reference field="4294967294" count="1" selected="0">
            <x v="0"/>
          </reference>
          <reference field="1" count="1" selected="0">
            <x v="424"/>
          </reference>
        </references>
      </pivotArea>
    </chartFormat>
    <chartFormat chart="0" format="57">
      <pivotArea type="data" outline="0" fieldPosition="0">
        <references count="2">
          <reference field="4294967294" count="1" selected="0">
            <x v="0"/>
          </reference>
          <reference field="1" count="1" selected="0">
            <x v="427"/>
          </reference>
        </references>
      </pivotArea>
    </chartFormat>
    <chartFormat chart="0" format="58">
      <pivotArea type="data" outline="0" fieldPosition="0">
        <references count="2">
          <reference field="4294967294" count="1" selected="0">
            <x v="0"/>
          </reference>
          <reference field="1" count="1" selected="0">
            <x v="564"/>
          </reference>
        </references>
      </pivotArea>
    </chartFormat>
    <chartFormat chart="0" format="59">
      <pivotArea type="data" outline="0" fieldPosition="0">
        <references count="2">
          <reference field="4294967294" count="1" selected="0">
            <x v="0"/>
          </reference>
          <reference field="1" count="1" selected="0">
            <x v="11"/>
          </reference>
        </references>
      </pivotArea>
    </chartFormat>
    <chartFormat chart="0" format="60">
      <pivotArea type="data" outline="0" fieldPosition="0">
        <references count="2">
          <reference field="4294967294" count="1" selected="0">
            <x v="0"/>
          </reference>
          <reference field="1" count="1" selected="0">
            <x v="12"/>
          </reference>
        </references>
      </pivotArea>
    </chartFormat>
    <chartFormat chart="0" format="61">
      <pivotArea type="data" outline="0" fieldPosition="0">
        <references count="2">
          <reference field="4294967294" count="1" selected="0">
            <x v="0"/>
          </reference>
          <reference field="1" count="1" selected="0">
            <x v="169"/>
          </reference>
        </references>
      </pivotArea>
    </chartFormat>
    <chartFormat chart="0" format="62">
      <pivotArea type="data" outline="0" fieldPosition="0">
        <references count="2">
          <reference field="4294967294" count="1" selected="0">
            <x v="0"/>
          </reference>
          <reference field="1" count="1" selected="0">
            <x v="196"/>
          </reference>
        </references>
      </pivotArea>
    </chartFormat>
    <chartFormat chart="0" format="63">
      <pivotArea type="data" outline="0" fieldPosition="0">
        <references count="2">
          <reference field="4294967294" count="1" selected="0">
            <x v="0"/>
          </reference>
          <reference field="1" count="1" selected="0">
            <x v="197"/>
          </reference>
        </references>
      </pivotArea>
    </chartFormat>
    <chartFormat chart="0" format="64">
      <pivotArea type="data" outline="0" fieldPosition="0">
        <references count="2">
          <reference field="4294967294" count="1" selected="0">
            <x v="0"/>
          </reference>
          <reference field="1" count="1" selected="0">
            <x v="200"/>
          </reference>
        </references>
      </pivotArea>
    </chartFormat>
    <chartFormat chart="0" format="65">
      <pivotArea type="data" outline="0" fieldPosition="0">
        <references count="2">
          <reference field="4294967294" count="1" selected="0">
            <x v="0"/>
          </reference>
          <reference field="1" count="1" selected="0">
            <x v="201"/>
          </reference>
        </references>
      </pivotArea>
    </chartFormat>
    <chartFormat chart="0" format="66">
      <pivotArea type="data" outline="0" fieldPosition="0">
        <references count="2">
          <reference field="4294967294" count="1" selected="0">
            <x v="0"/>
          </reference>
          <reference field="1" count="1" selected="0">
            <x v="273"/>
          </reference>
        </references>
      </pivotArea>
    </chartFormat>
    <chartFormat chart="0" format="67">
      <pivotArea type="data" outline="0" fieldPosition="0">
        <references count="2">
          <reference field="4294967294" count="1" selected="0">
            <x v="0"/>
          </reference>
          <reference field="1" count="1" selected="0">
            <x v="450"/>
          </reference>
        </references>
      </pivotArea>
    </chartFormat>
    <chartFormat chart="0" format="68">
      <pivotArea type="data" outline="0" fieldPosition="0">
        <references count="2">
          <reference field="4294967294" count="1" selected="0">
            <x v="0"/>
          </reference>
          <reference field="1" count="1" selected="0">
            <x v="57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C545162-D64E-4E9C-B5A7-8884F4DE15AB}" sourceName="Genre">
  <pivotTables>
    <pivotTable tabId="5" name="PivotTable1"/>
    <pivotTable tabId="5" name="PivotTable13"/>
    <pivotTable tabId="5" name="PivotTable11"/>
    <pivotTable tabId="5" name="PivotTable17"/>
    <pivotTable tabId="5" name="PivotTable2"/>
    <pivotTable tabId="5" name="PivotTable6"/>
    <pivotTable tabId="5" name="PivotTable7"/>
    <pivotTable tabId="4" name="PivotTable3"/>
  </pivotTables>
  <data>
    <tabular pivotCacheId="801726770">
      <items count="12">
        <i x="8"/>
        <i x="10"/>
        <i x="9"/>
        <i x="5"/>
        <i x="1"/>
        <i x="4"/>
        <i x="2" s="1"/>
        <i x="3"/>
        <i x="6"/>
        <i x="7"/>
        <i x="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9E417FDF-3955-4DBE-95B3-F286D389434C}" cache="Slicer_Genre" caption="Gen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5" xr10:uid="{30C59368-D0ED-428F-B2AA-E3C50D5FE890}" cache="Slicer_Genre" caption="Genre" style="Slicer Style 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8F6894-9728-4B7F-990B-E9282257DBB1}" name="Table3" displayName="Table3" ref="A1:K800" totalsRowShown="0">
  <autoFilter ref="A1:K800" xr:uid="{0F8F6894-9728-4B7F-990B-E9282257DBB1}"/>
  <tableColumns count="11">
    <tableColumn id="1" xr3:uid="{EE23EB84-9FDC-4267-8289-F0E78D05D3A0}" name="Rank"/>
    <tableColumn id="2" xr3:uid="{D19B9E4E-31D1-4EE6-BF32-710D1F56D1F3}" name="Name"/>
    <tableColumn id="3" xr3:uid="{0630D7BF-C223-41D2-951E-27DE51CEDF47}" name="Platform"/>
    <tableColumn id="4" xr3:uid="{0AD77CE4-3BAB-491D-81DB-3AF9B751846D}" name="Year"/>
    <tableColumn id="5" xr3:uid="{9F1087EB-E9E4-4CC8-931A-8AE7531575AB}" name="Genre"/>
    <tableColumn id="6" xr3:uid="{48748B76-2FDF-4CFE-A3A8-2F54AB91D504}" name="Publisher"/>
    <tableColumn id="7" xr3:uid="{A8C34CCB-10DA-47C9-924F-250D80F1EFC8}" name="NA_Sales"/>
    <tableColumn id="8" xr3:uid="{AEB8F1B6-52EC-4140-BC98-9FD883BABD30}" name="EU_Sales"/>
    <tableColumn id="9" xr3:uid="{86D0C4D3-D3C3-4B18-AD0E-2B7E0255E111}" name="JP_Sales"/>
    <tableColumn id="10" xr3:uid="{E84FDA2E-ED99-4B15-8D14-7441C9AD2FF7}" name="Other_Sales"/>
    <tableColumn id="11" xr3:uid="{D1059FCD-8E63-4A6A-867A-DFE42A24891E}" name="Global_Sales"/>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3A65C-6DA4-41D0-80AE-35D6FD450196}">
  <dimension ref="A1:L800"/>
  <sheetViews>
    <sheetView topLeftCell="A462" workbookViewId="0">
      <selection activeCell="B1" sqref="B1"/>
    </sheetView>
  </sheetViews>
  <sheetFormatPr defaultRowHeight="14.4" x14ac:dyDescent="0.3"/>
  <cols>
    <col min="2" max="2" width="66.88671875" customWidth="1"/>
    <col min="3" max="3" width="10.21875" customWidth="1"/>
    <col min="5" max="5" width="11" customWidth="1"/>
    <col min="6" max="6" width="33.77734375" customWidth="1"/>
    <col min="7" max="7" width="11" customWidth="1"/>
    <col min="8" max="8" width="10.44140625" customWidth="1"/>
    <col min="9" max="9" width="9.88671875" customWidth="1"/>
    <col min="10" max="10" width="12.88671875" customWidth="1"/>
    <col min="11" max="11" width="13.44140625" customWidth="1"/>
    <col min="12" max="12" width="8.88671875"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t="s">
        <v>11</v>
      </c>
      <c r="C2" t="s">
        <v>12</v>
      </c>
      <c r="D2">
        <v>2006</v>
      </c>
      <c r="E2" t="s">
        <v>13</v>
      </c>
      <c r="F2" t="s">
        <v>14</v>
      </c>
      <c r="G2">
        <v>41.49</v>
      </c>
      <c r="H2">
        <v>29.02</v>
      </c>
      <c r="I2">
        <v>3.77</v>
      </c>
      <c r="J2">
        <v>8.4600000000000009</v>
      </c>
      <c r="K2">
        <v>82.74</v>
      </c>
    </row>
    <row r="3" spans="1:11" x14ac:dyDescent="0.3">
      <c r="A3">
        <v>2</v>
      </c>
      <c r="B3" t="s">
        <v>15</v>
      </c>
      <c r="C3" t="s">
        <v>16</v>
      </c>
      <c r="D3">
        <v>1985</v>
      </c>
      <c r="E3" t="s">
        <v>2</v>
      </c>
      <c r="F3" t="s">
        <v>14</v>
      </c>
      <c r="G3">
        <v>29.08</v>
      </c>
      <c r="H3">
        <v>3.58</v>
      </c>
      <c r="I3">
        <v>6.81</v>
      </c>
      <c r="J3">
        <v>0.77</v>
      </c>
      <c r="K3">
        <v>40.24</v>
      </c>
    </row>
    <row r="4" spans="1:11" x14ac:dyDescent="0.3">
      <c r="A4">
        <v>3</v>
      </c>
      <c r="B4" t="s">
        <v>17</v>
      </c>
      <c r="C4" t="s">
        <v>12</v>
      </c>
      <c r="D4">
        <v>2008</v>
      </c>
      <c r="E4" t="s">
        <v>18</v>
      </c>
      <c r="F4" t="s">
        <v>14</v>
      </c>
      <c r="G4">
        <v>15.85</v>
      </c>
      <c r="H4">
        <v>12.88</v>
      </c>
      <c r="I4">
        <v>3.79</v>
      </c>
      <c r="J4">
        <v>3.31</v>
      </c>
      <c r="K4">
        <v>35.82</v>
      </c>
    </row>
    <row r="5" spans="1:11" x14ac:dyDescent="0.3">
      <c r="A5">
        <v>4</v>
      </c>
      <c r="B5" t="s">
        <v>19</v>
      </c>
      <c r="C5" t="s">
        <v>12</v>
      </c>
      <c r="D5">
        <v>2009</v>
      </c>
      <c r="E5" t="s">
        <v>13</v>
      </c>
      <c r="F5" t="s">
        <v>14</v>
      </c>
      <c r="G5">
        <v>15.75</v>
      </c>
      <c r="H5">
        <v>11.01</v>
      </c>
      <c r="I5">
        <v>3.28</v>
      </c>
      <c r="J5">
        <v>2.96</v>
      </c>
      <c r="K5">
        <v>33</v>
      </c>
    </row>
    <row r="6" spans="1:11" x14ac:dyDescent="0.3">
      <c r="A6">
        <v>5</v>
      </c>
      <c r="B6" t="s">
        <v>20</v>
      </c>
      <c r="C6" t="s">
        <v>21</v>
      </c>
      <c r="D6">
        <v>1996</v>
      </c>
      <c r="E6" t="s">
        <v>22</v>
      </c>
      <c r="F6" t="s">
        <v>14</v>
      </c>
      <c r="G6">
        <v>11.27</v>
      </c>
      <c r="H6">
        <v>8.89</v>
      </c>
      <c r="I6">
        <v>10.220000000000001</v>
      </c>
      <c r="J6">
        <v>1</v>
      </c>
      <c r="K6">
        <v>31.37</v>
      </c>
    </row>
    <row r="7" spans="1:11" x14ac:dyDescent="0.3">
      <c r="A7">
        <v>6</v>
      </c>
      <c r="B7" t="s">
        <v>23</v>
      </c>
      <c r="C7" t="s">
        <v>21</v>
      </c>
      <c r="D7">
        <v>1989</v>
      </c>
      <c r="E7" t="s">
        <v>24</v>
      </c>
      <c r="F7" t="s">
        <v>14</v>
      </c>
      <c r="G7">
        <v>23.2</v>
      </c>
      <c r="H7">
        <v>2.2599999999999998</v>
      </c>
      <c r="I7">
        <v>4.22</v>
      </c>
      <c r="J7">
        <v>0.57999999999999996</v>
      </c>
      <c r="K7">
        <v>30.26</v>
      </c>
    </row>
    <row r="8" spans="1:11" x14ac:dyDescent="0.3">
      <c r="A8">
        <v>7</v>
      </c>
      <c r="B8" t="s">
        <v>25</v>
      </c>
      <c r="C8" t="s">
        <v>26</v>
      </c>
      <c r="D8">
        <v>2006</v>
      </c>
      <c r="E8" t="s">
        <v>2</v>
      </c>
      <c r="F8" t="s">
        <v>14</v>
      </c>
      <c r="G8">
        <v>11.38</v>
      </c>
      <c r="H8">
        <v>9.23</v>
      </c>
      <c r="I8">
        <v>6.5</v>
      </c>
      <c r="J8">
        <v>2.9</v>
      </c>
      <c r="K8">
        <v>30.01</v>
      </c>
    </row>
    <row r="9" spans="1:11" x14ac:dyDescent="0.3">
      <c r="A9">
        <v>8</v>
      </c>
      <c r="B9" t="s">
        <v>27</v>
      </c>
      <c r="C9" t="s">
        <v>12</v>
      </c>
      <c r="D9">
        <v>2006</v>
      </c>
      <c r="E9" t="s">
        <v>28</v>
      </c>
      <c r="F9" t="s">
        <v>14</v>
      </c>
      <c r="G9">
        <v>14.03</v>
      </c>
      <c r="H9">
        <v>9.1999999999999993</v>
      </c>
      <c r="I9">
        <v>2.93</v>
      </c>
      <c r="J9">
        <v>2.85</v>
      </c>
      <c r="K9">
        <v>29.02</v>
      </c>
    </row>
    <row r="10" spans="1:11" x14ac:dyDescent="0.3">
      <c r="A10">
        <v>9</v>
      </c>
      <c r="B10" t="s">
        <v>29</v>
      </c>
      <c r="C10" t="s">
        <v>12</v>
      </c>
      <c r="D10">
        <v>2009</v>
      </c>
      <c r="E10" t="s">
        <v>2</v>
      </c>
      <c r="F10" t="s">
        <v>14</v>
      </c>
      <c r="G10">
        <v>14.59</v>
      </c>
      <c r="H10">
        <v>7.06</v>
      </c>
      <c r="I10">
        <v>4.7</v>
      </c>
      <c r="J10">
        <v>2.2599999999999998</v>
      </c>
      <c r="K10">
        <v>28.62</v>
      </c>
    </row>
    <row r="11" spans="1:11" x14ac:dyDescent="0.3">
      <c r="A11">
        <v>10</v>
      </c>
      <c r="B11" t="s">
        <v>30</v>
      </c>
      <c r="C11" t="s">
        <v>16</v>
      </c>
      <c r="D11">
        <v>1984</v>
      </c>
      <c r="E11" t="s">
        <v>31</v>
      </c>
      <c r="F11" t="s">
        <v>14</v>
      </c>
      <c r="G11">
        <v>26.93</v>
      </c>
      <c r="H11">
        <v>0.63</v>
      </c>
      <c r="I11">
        <v>0.28000000000000003</v>
      </c>
      <c r="J11">
        <v>0.47</v>
      </c>
      <c r="K11">
        <v>28.31</v>
      </c>
    </row>
    <row r="12" spans="1:11" x14ac:dyDescent="0.3">
      <c r="A12">
        <v>11</v>
      </c>
      <c r="B12" t="s">
        <v>32</v>
      </c>
      <c r="C12" t="s">
        <v>26</v>
      </c>
      <c r="D12">
        <v>2005</v>
      </c>
      <c r="E12" t="s">
        <v>33</v>
      </c>
      <c r="F12" t="s">
        <v>14</v>
      </c>
      <c r="G12">
        <v>9.07</v>
      </c>
      <c r="H12">
        <v>11</v>
      </c>
      <c r="I12">
        <v>1.93</v>
      </c>
      <c r="J12">
        <v>2.75</v>
      </c>
      <c r="K12">
        <v>24.76</v>
      </c>
    </row>
    <row r="13" spans="1:11" x14ac:dyDescent="0.3">
      <c r="A13">
        <v>12</v>
      </c>
      <c r="B13" t="s">
        <v>34</v>
      </c>
      <c r="C13" t="s">
        <v>26</v>
      </c>
      <c r="D13">
        <v>2005</v>
      </c>
      <c r="E13" t="s">
        <v>18</v>
      </c>
      <c r="F13" t="s">
        <v>14</v>
      </c>
      <c r="G13">
        <v>9.81</v>
      </c>
      <c r="H13">
        <v>7.57</v>
      </c>
      <c r="I13">
        <v>4.13</v>
      </c>
      <c r="J13">
        <v>1.92</v>
      </c>
      <c r="K13">
        <v>23.42</v>
      </c>
    </row>
    <row r="14" spans="1:11" x14ac:dyDescent="0.3">
      <c r="A14">
        <v>13</v>
      </c>
      <c r="B14" t="s">
        <v>35</v>
      </c>
      <c r="C14" t="s">
        <v>21</v>
      </c>
      <c r="D14">
        <v>1999</v>
      </c>
      <c r="E14" t="s">
        <v>22</v>
      </c>
      <c r="F14" t="s">
        <v>14</v>
      </c>
      <c r="G14">
        <v>9</v>
      </c>
      <c r="H14">
        <v>6.18</v>
      </c>
      <c r="I14">
        <v>7.2</v>
      </c>
      <c r="J14">
        <v>0.71</v>
      </c>
      <c r="K14">
        <v>23.1</v>
      </c>
    </row>
    <row r="15" spans="1:11" x14ac:dyDescent="0.3">
      <c r="A15">
        <v>14</v>
      </c>
      <c r="B15" t="s">
        <v>36</v>
      </c>
      <c r="C15" t="s">
        <v>12</v>
      </c>
      <c r="D15">
        <v>2007</v>
      </c>
      <c r="E15" t="s">
        <v>13</v>
      </c>
      <c r="F15" t="s">
        <v>14</v>
      </c>
      <c r="G15">
        <v>8.94</v>
      </c>
      <c r="H15">
        <v>8.0299999999999994</v>
      </c>
      <c r="I15">
        <v>3.6</v>
      </c>
      <c r="J15">
        <v>2.15</v>
      </c>
      <c r="K15">
        <v>22.72</v>
      </c>
    </row>
    <row r="16" spans="1:11" x14ac:dyDescent="0.3">
      <c r="A16">
        <v>15</v>
      </c>
      <c r="B16" t="s">
        <v>37</v>
      </c>
      <c r="C16" t="s">
        <v>12</v>
      </c>
      <c r="D16">
        <v>2009</v>
      </c>
      <c r="E16" t="s">
        <v>13</v>
      </c>
      <c r="F16" t="s">
        <v>14</v>
      </c>
      <c r="G16">
        <v>9.09</v>
      </c>
      <c r="H16">
        <v>8.59</v>
      </c>
      <c r="I16">
        <v>2.5299999999999998</v>
      </c>
      <c r="J16">
        <v>1.79</v>
      </c>
      <c r="K16">
        <v>22</v>
      </c>
    </row>
    <row r="17" spans="1:12" x14ac:dyDescent="0.3">
      <c r="A17">
        <v>16</v>
      </c>
      <c r="B17" t="s">
        <v>38</v>
      </c>
      <c r="C17" t="s">
        <v>39</v>
      </c>
      <c r="D17">
        <v>2010</v>
      </c>
      <c r="E17" t="s">
        <v>28</v>
      </c>
      <c r="F17" t="s">
        <v>40</v>
      </c>
      <c r="G17">
        <v>14.97</v>
      </c>
      <c r="H17">
        <v>4.9400000000000004</v>
      </c>
      <c r="I17">
        <v>0.24</v>
      </c>
      <c r="J17">
        <v>1.67</v>
      </c>
      <c r="K17">
        <v>21.82</v>
      </c>
      <c r="L17" t="s">
        <v>768</v>
      </c>
    </row>
    <row r="18" spans="1:12" x14ac:dyDescent="0.3">
      <c r="A18">
        <v>17</v>
      </c>
      <c r="B18" t="s">
        <v>41</v>
      </c>
      <c r="C18" t="s">
        <v>42</v>
      </c>
      <c r="D18">
        <v>2013</v>
      </c>
      <c r="E18" t="s">
        <v>43</v>
      </c>
      <c r="F18" t="s">
        <v>44</v>
      </c>
      <c r="G18">
        <v>7.01</v>
      </c>
      <c r="H18">
        <v>9.27</v>
      </c>
      <c r="I18">
        <v>0.97</v>
      </c>
      <c r="J18">
        <v>4.1399999999999997</v>
      </c>
      <c r="K18">
        <v>21.4</v>
      </c>
    </row>
    <row r="19" spans="1:12" x14ac:dyDescent="0.3">
      <c r="A19">
        <v>18</v>
      </c>
      <c r="B19" t="s">
        <v>45</v>
      </c>
      <c r="C19" t="s">
        <v>46</v>
      </c>
      <c r="D19">
        <v>2004</v>
      </c>
      <c r="E19" t="s">
        <v>43</v>
      </c>
      <c r="F19" t="s">
        <v>44</v>
      </c>
      <c r="G19">
        <v>9.43</v>
      </c>
      <c r="H19">
        <v>0.4</v>
      </c>
      <c r="I19">
        <v>0.41</v>
      </c>
      <c r="J19">
        <v>10.57</v>
      </c>
      <c r="K19">
        <v>20.81</v>
      </c>
    </row>
    <row r="20" spans="1:12" x14ac:dyDescent="0.3">
      <c r="A20">
        <v>19</v>
      </c>
      <c r="B20" t="s">
        <v>47</v>
      </c>
      <c r="C20" t="s">
        <v>48</v>
      </c>
      <c r="D20">
        <v>1990</v>
      </c>
      <c r="E20" t="s">
        <v>2</v>
      </c>
      <c r="F20" t="s">
        <v>14</v>
      </c>
      <c r="G20">
        <v>12.78</v>
      </c>
      <c r="H20">
        <v>3.75</v>
      </c>
      <c r="I20">
        <v>3.54</v>
      </c>
      <c r="J20">
        <v>0.55000000000000004</v>
      </c>
      <c r="K20">
        <v>20.61</v>
      </c>
    </row>
    <row r="21" spans="1:12" x14ac:dyDescent="0.3">
      <c r="A21">
        <v>20</v>
      </c>
      <c r="B21" t="s">
        <v>49</v>
      </c>
      <c r="C21" t="s">
        <v>26</v>
      </c>
      <c r="D21">
        <v>2005</v>
      </c>
      <c r="E21" t="s">
        <v>28</v>
      </c>
      <c r="F21" t="s">
        <v>14</v>
      </c>
      <c r="G21">
        <v>4.75</v>
      </c>
      <c r="H21">
        <v>9.26</v>
      </c>
      <c r="I21">
        <v>4.16</v>
      </c>
      <c r="J21">
        <v>2.0499999999999998</v>
      </c>
      <c r="K21">
        <v>20.22</v>
      </c>
    </row>
    <row r="22" spans="1:12" x14ac:dyDescent="0.3">
      <c r="A22">
        <v>21</v>
      </c>
      <c r="B22" t="s">
        <v>50</v>
      </c>
      <c r="C22" t="s">
        <v>26</v>
      </c>
      <c r="D22">
        <v>2006</v>
      </c>
      <c r="E22" t="s">
        <v>22</v>
      </c>
      <c r="F22" t="s">
        <v>14</v>
      </c>
      <c r="G22">
        <v>6.42</v>
      </c>
      <c r="H22">
        <v>4.5199999999999996</v>
      </c>
      <c r="I22">
        <v>6.04</v>
      </c>
      <c r="J22">
        <v>1.37</v>
      </c>
      <c r="K22">
        <v>18.36</v>
      </c>
    </row>
    <row r="23" spans="1:12" x14ac:dyDescent="0.3">
      <c r="A23">
        <v>22</v>
      </c>
      <c r="B23" t="s">
        <v>51</v>
      </c>
      <c r="C23" t="s">
        <v>21</v>
      </c>
      <c r="D23">
        <v>1989</v>
      </c>
      <c r="E23" t="s">
        <v>2</v>
      </c>
      <c r="F23" t="s">
        <v>14</v>
      </c>
      <c r="G23">
        <v>10.83</v>
      </c>
      <c r="H23">
        <v>2.71</v>
      </c>
      <c r="I23">
        <v>4.18</v>
      </c>
      <c r="J23">
        <v>0.42</v>
      </c>
      <c r="K23">
        <v>18.14</v>
      </c>
    </row>
    <row r="24" spans="1:12" x14ac:dyDescent="0.3">
      <c r="A24">
        <v>23</v>
      </c>
      <c r="B24" t="s">
        <v>52</v>
      </c>
      <c r="C24" t="s">
        <v>16</v>
      </c>
      <c r="D24">
        <v>1988</v>
      </c>
      <c r="E24" t="s">
        <v>2</v>
      </c>
      <c r="F24" t="s">
        <v>14</v>
      </c>
      <c r="G24">
        <v>9.5399999999999991</v>
      </c>
      <c r="H24">
        <v>3.44</v>
      </c>
      <c r="I24">
        <v>3.84</v>
      </c>
      <c r="J24">
        <v>0.46</v>
      </c>
      <c r="K24">
        <v>17.28</v>
      </c>
    </row>
    <row r="25" spans="1:12" x14ac:dyDescent="0.3">
      <c r="A25">
        <v>24</v>
      </c>
      <c r="B25" t="s">
        <v>41</v>
      </c>
      <c r="C25" t="s">
        <v>39</v>
      </c>
      <c r="D25">
        <v>2013</v>
      </c>
      <c r="E25" t="s">
        <v>43</v>
      </c>
      <c r="F25" t="s">
        <v>44</v>
      </c>
      <c r="G25">
        <v>9.6300000000000008</v>
      </c>
      <c r="H25">
        <v>5.31</v>
      </c>
      <c r="I25">
        <v>0.06</v>
      </c>
      <c r="J25">
        <v>1.38</v>
      </c>
      <c r="K25">
        <v>16.38</v>
      </c>
    </row>
    <row r="26" spans="1:12" x14ac:dyDescent="0.3">
      <c r="A26">
        <v>25</v>
      </c>
      <c r="B26" t="s">
        <v>53</v>
      </c>
      <c r="C26" t="s">
        <v>46</v>
      </c>
      <c r="D26">
        <v>2002</v>
      </c>
      <c r="E26" t="s">
        <v>43</v>
      </c>
      <c r="F26" t="s">
        <v>44</v>
      </c>
      <c r="G26">
        <v>8.41</v>
      </c>
      <c r="H26">
        <v>5.49</v>
      </c>
      <c r="I26">
        <v>0.47</v>
      </c>
      <c r="J26">
        <v>1.78</v>
      </c>
      <c r="K26">
        <v>16.149999999999999</v>
      </c>
    </row>
    <row r="27" spans="1:12" x14ac:dyDescent="0.3">
      <c r="A27">
        <v>26</v>
      </c>
      <c r="B27" t="s">
        <v>54</v>
      </c>
      <c r="C27" t="s">
        <v>55</v>
      </c>
      <c r="D27">
        <v>2002</v>
      </c>
      <c r="E27" t="s">
        <v>22</v>
      </c>
      <c r="F27" t="s">
        <v>14</v>
      </c>
      <c r="G27">
        <v>6.06</v>
      </c>
      <c r="H27">
        <v>3.9</v>
      </c>
      <c r="I27">
        <v>5.38</v>
      </c>
      <c r="J27">
        <v>0.5</v>
      </c>
      <c r="K27">
        <v>15.85</v>
      </c>
    </row>
    <row r="28" spans="1:12" x14ac:dyDescent="0.3">
      <c r="A28">
        <v>27</v>
      </c>
      <c r="B28" t="s">
        <v>56</v>
      </c>
      <c r="C28" t="s">
        <v>26</v>
      </c>
      <c r="D28">
        <v>2010</v>
      </c>
      <c r="E28" t="s">
        <v>22</v>
      </c>
      <c r="F28" t="s">
        <v>14</v>
      </c>
      <c r="G28">
        <v>5.57</v>
      </c>
      <c r="H28">
        <v>3.28</v>
      </c>
      <c r="I28">
        <v>5.65</v>
      </c>
      <c r="J28">
        <v>0.82</v>
      </c>
      <c r="K28">
        <v>15.32</v>
      </c>
    </row>
    <row r="29" spans="1:12" x14ac:dyDescent="0.3">
      <c r="A29">
        <v>28</v>
      </c>
      <c r="B29" t="s">
        <v>57</v>
      </c>
      <c r="C29" t="s">
        <v>26</v>
      </c>
      <c r="D29">
        <v>2005</v>
      </c>
      <c r="E29" t="s">
        <v>24</v>
      </c>
      <c r="F29" t="s">
        <v>14</v>
      </c>
      <c r="G29">
        <v>3.44</v>
      </c>
      <c r="H29">
        <v>5.36</v>
      </c>
      <c r="I29">
        <v>5.32</v>
      </c>
      <c r="J29">
        <v>1.18</v>
      </c>
      <c r="K29">
        <v>15.3</v>
      </c>
    </row>
    <row r="30" spans="1:12" x14ac:dyDescent="0.3">
      <c r="A30">
        <v>29</v>
      </c>
      <c r="B30" t="s">
        <v>58</v>
      </c>
      <c r="C30" t="s">
        <v>46</v>
      </c>
      <c r="D30">
        <v>2001</v>
      </c>
      <c r="E30" t="s">
        <v>18</v>
      </c>
      <c r="F30" t="s">
        <v>59</v>
      </c>
      <c r="G30">
        <v>6.85</v>
      </c>
      <c r="H30">
        <v>5.09</v>
      </c>
      <c r="I30">
        <v>1.87</v>
      </c>
      <c r="J30">
        <v>1.1599999999999999</v>
      </c>
      <c r="K30">
        <v>14.98</v>
      </c>
    </row>
    <row r="31" spans="1:12" x14ac:dyDescent="0.3">
      <c r="A31">
        <v>30</v>
      </c>
      <c r="B31" t="s">
        <v>60</v>
      </c>
      <c r="C31" t="s">
        <v>39</v>
      </c>
      <c r="D31">
        <v>2011</v>
      </c>
      <c r="E31" t="s">
        <v>31</v>
      </c>
      <c r="F31" t="s">
        <v>61</v>
      </c>
      <c r="G31">
        <v>9.0299999999999994</v>
      </c>
      <c r="H31">
        <v>4.28</v>
      </c>
      <c r="I31">
        <v>0.13</v>
      </c>
      <c r="J31">
        <v>1.32</v>
      </c>
      <c r="K31">
        <v>14.76</v>
      </c>
    </row>
    <row r="32" spans="1:12" x14ac:dyDescent="0.3">
      <c r="A32">
        <v>31</v>
      </c>
      <c r="B32" t="s">
        <v>62</v>
      </c>
      <c r="C32" t="s">
        <v>21</v>
      </c>
      <c r="D32">
        <v>1998</v>
      </c>
      <c r="E32" t="s">
        <v>22</v>
      </c>
      <c r="F32" t="s">
        <v>14</v>
      </c>
      <c r="G32">
        <v>5.89</v>
      </c>
      <c r="H32">
        <v>5.04</v>
      </c>
      <c r="I32">
        <v>3.12</v>
      </c>
      <c r="J32">
        <v>0.59</v>
      </c>
      <c r="K32">
        <v>14.64</v>
      </c>
    </row>
    <row r="33" spans="1:11" x14ac:dyDescent="0.3">
      <c r="A33">
        <v>32</v>
      </c>
      <c r="B33" t="s">
        <v>63</v>
      </c>
      <c r="C33" t="s">
        <v>39</v>
      </c>
      <c r="D33">
        <v>2010</v>
      </c>
      <c r="E33" t="s">
        <v>31</v>
      </c>
      <c r="F33" t="s">
        <v>61</v>
      </c>
      <c r="G33">
        <v>9.67</v>
      </c>
      <c r="H33">
        <v>3.73</v>
      </c>
      <c r="I33">
        <v>0.11</v>
      </c>
      <c r="J33">
        <v>1.1299999999999999</v>
      </c>
      <c r="K33">
        <v>14.64</v>
      </c>
    </row>
    <row r="34" spans="1:11" x14ac:dyDescent="0.3">
      <c r="A34">
        <v>33</v>
      </c>
      <c r="B34" t="s">
        <v>64</v>
      </c>
      <c r="C34" t="s">
        <v>65</v>
      </c>
      <c r="D34">
        <v>2013</v>
      </c>
      <c r="E34" t="s">
        <v>22</v>
      </c>
      <c r="F34" t="s">
        <v>14</v>
      </c>
      <c r="G34">
        <v>5.17</v>
      </c>
      <c r="H34">
        <v>4.05</v>
      </c>
      <c r="I34">
        <v>4.34</v>
      </c>
      <c r="J34">
        <v>0.79</v>
      </c>
      <c r="K34">
        <v>14.35</v>
      </c>
    </row>
    <row r="35" spans="1:11" x14ac:dyDescent="0.3">
      <c r="A35">
        <v>34</v>
      </c>
      <c r="B35" t="s">
        <v>66</v>
      </c>
      <c r="C35" t="s">
        <v>67</v>
      </c>
      <c r="D35">
        <v>2015</v>
      </c>
      <c r="E35" t="s">
        <v>31</v>
      </c>
      <c r="F35" t="s">
        <v>61</v>
      </c>
      <c r="G35">
        <v>5.77</v>
      </c>
      <c r="H35">
        <v>5.81</v>
      </c>
      <c r="I35">
        <v>0.35</v>
      </c>
      <c r="J35">
        <v>2.31</v>
      </c>
      <c r="K35">
        <v>14.24</v>
      </c>
    </row>
    <row r="36" spans="1:11" x14ac:dyDescent="0.3">
      <c r="A36">
        <v>35</v>
      </c>
      <c r="B36" t="s">
        <v>68</v>
      </c>
      <c r="C36" t="s">
        <v>42</v>
      </c>
      <c r="D36">
        <v>2012</v>
      </c>
      <c r="E36" t="s">
        <v>31</v>
      </c>
      <c r="F36" t="s">
        <v>61</v>
      </c>
      <c r="G36">
        <v>4.99</v>
      </c>
      <c r="H36">
        <v>5.88</v>
      </c>
      <c r="I36">
        <v>0.65</v>
      </c>
      <c r="J36">
        <v>2.52</v>
      </c>
      <c r="K36">
        <v>14.03</v>
      </c>
    </row>
    <row r="37" spans="1:11" x14ac:dyDescent="0.3">
      <c r="A37">
        <v>36</v>
      </c>
      <c r="B37" t="s">
        <v>68</v>
      </c>
      <c r="C37" t="s">
        <v>39</v>
      </c>
      <c r="D37">
        <v>2012</v>
      </c>
      <c r="E37" t="s">
        <v>31</v>
      </c>
      <c r="F37" t="s">
        <v>61</v>
      </c>
      <c r="G37">
        <v>8.25</v>
      </c>
      <c r="H37">
        <v>4.3</v>
      </c>
      <c r="I37">
        <v>7.0000000000000007E-2</v>
      </c>
      <c r="J37">
        <v>1.1200000000000001</v>
      </c>
      <c r="K37">
        <v>13.73</v>
      </c>
    </row>
    <row r="38" spans="1:11" x14ac:dyDescent="0.3">
      <c r="A38">
        <v>37</v>
      </c>
      <c r="B38" t="s">
        <v>69</v>
      </c>
      <c r="C38" t="s">
        <v>39</v>
      </c>
      <c r="D38">
        <v>2009</v>
      </c>
      <c r="E38" t="s">
        <v>31</v>
      </c>
      <c r="F38" t="s">
        <v>61</v>
      </c>
      <c r="G38">
        <v>8.52</v>
      </c>
      <c r="H38">
        <v>3.63</v>
      </c>
      <c r="I38">
        <v>0.08</v>
      </c>
      <c r="J38">
        <v>1.29</v>
      </c>
      <c r="K38">
        <v>13.51</v>
      </c>
    </row>
    <row r="39" spans="1:11" x14ac:dyDescent="0.3">
      <c r="A39">
        <v>38</v>
      </c>
      <c r="B39" t="s">
        <v>60</v>
      </c>
      <c r="C39" t="s">
        <v>42</v>
      </c>
      <c r="D39">
        <v>2011</v>
      </c>
      <c r="E39" t="s">
        <v>31</v>
      </c>
      <c r="F39" t="s">
        <v>61</v>
      </c>
      <c r="G39">
        <v>5.54</v>
      </c>
      <c r="H39">
        <v>5.82</v>
      </c>
      <c r="I39">
        <v>0.49</v>
      </c>
      <c r="J39">
        <v>1.62</v>
      </c>
      <c r="K39">
        <v>13.46</v>
      </c>
    </row>
    <row r="40" spans="1:11" x14ac:dyDescent="0.3">
      <c r="A40">
        <v>39</v>
      </c>
      <c r="B40" t="s">
        <v>70</v>
      </c>
      <c r="C40" t="s">
        <v>46</v>
      </c>
      <c r="D40">
        <v>2001</v>
      </c>
      <c r="E40" t="s">
        <v>43</v>
      </c>
      <c r="F40" t="s">
        <v>44</v>
      </c>
      <c r="G40">
        <v>6.99</v>
      </c>
      <c r="H40">
        <v>4.51</v>
      </c>
      <c r="I40">
        <v>0.3</v>
      </c>
      <c r="J40">
        <v>1.3</v>
      </c>
      <c r="K40">
        <v>13.1</v>
      </c>
    </row>
    <row r="41" spans="1:11" x14ac:dyDescent="0.3">
      <c r="A41">
        <v>40</v>
      </c>
      <c r="B41" t="s">
        <v>71</v>
      </c>
      <c r="C41" t="s">
        <v>12</v>
      </c>
      <c r="D41">
        <v>2008</v>
      </c>
      <c r="E41" t="s">
        <v>72</v>
      </c>
      <c r="F41" t="s">
        <v>14</v>
      </c>
      <c r="G41">
        <v>6.75</v>
      </c>
      <c r="H41">
        <v>2.61</v>
      </c>
      <c r="I41">
        <v>2.66</v>
      </c>
      <c r="J41">
        <v>1.02</v>
      </c>
      <c r="K41">
        <v>13.04</v>
      </c>
    </row>
    <row r="42" spans="1:11" x14ac:dyDescent="0.3">
      <c r="A42">
        <v>41</v>
      </c>
      <c r="B42" t="s">
        <v>63</v>
      </c>
      <c r="C42" t="s">
        <v>42</v>
      </c>
      <c r="D42">
        <v>2010</v>
      </c>
      <c r="E42" t="s">
        <v>31</v>
      </c>
      <c r="F42" t="s">
        <v>61</v>
      </c>
      <c r="G42">
        <v>5.98</v>
      </c>
      <c r="H42">
        <v>4.4400000000000004</v>
      </c>
      <c r="I42">
        <v>0.48</v>
      </c>
      <c r="J42">
        <v>1.83</v>
      </c>
      <c r="K42">
        <v>12.73</v>
      </c>
    </row>
    <row r="43" spans="1:11" x14ac:dyDescent="0.3">
      <c r="A43">
        <v>42</v>
      </c>
      <c r="B43" t="s">
        <v>73</v>
      </c>
      <c r="C43" t="s">
        <v>26</v>
      </c>
      <c r="D43">
        <v>2005</v>
      </c>
      <c r="E43" t="s">
        <v>33</v>
      </c>
      <c r="F43" t="s">
        <v>14</v>
      </c>
      <c r="G43">
        <v>2.5499999999999998</v>
      </c>
      <c r="H43">
        <v>3.52</v>
      </c>
      <c r="I43">
        <v>5.33</v>
      </c>
      <c r="J43">
        <v>0.88</v>
      </c>
      <c r="K43">
        <v>12.27</v>
      </c>
    </row>
    <row r="44" spans="1:11" x14ac:dyDescent="0.3">
      <c r="A44">
        <v>43</v>
      </c>
      <c r="B44" t="s">
        <v>74</v>
      </c>
      <c r="C44" t="s">
        <v>65</v>
      </c>
      <c r="D44">
        <v>2011</v>
      </c>
      <c r="E44" t="s">
        <v>18</v>
      </c>
      <c r="F44" t="s">
        <v>14</v>
      </c>
      <c r="G44">
        <v>4.74</v>
      </c>
      <c r="H44">
        <v>3.91</v>
      </c>
      <c r="I44">
        <v>2.67</v>
      </c>
      <c r="J44">
        <v>0.89</v>
      </c>
      <c r="K44">
        <v>12.21</v>
      </c>
    </row>
    <row r="45" spans="1:11" x14ac:dyDescent="0.3">
      <c r="A45">
        <v>44</v>
      </c>
      <c r="B45" t="s">
        <v>75</v>
      </c>
      <c r="C45" t="s">
        <v>39</v>
      </c>
      <c r="D45">
        <v>2007</v>
      </c>
      <c r="E45" t="s">
        <v>31</v>
      </c>
      <c r="F45" t="s">
        <v>40</v>
      </c>
      <c r="G45">
        <v>7.97</v>
      </c>
      <c r="H45">
        <v>2.83</v>
      </c>
      <c r="I45">
        <v>0.13</v>
      </c>
      <c r="J45">
        <v>1.21</v>
      </c>
      <c r="K45">
        <v>12.14</v>
      </c>
    </row>
    <row r="46" spans="1:11" x14ac:dyDescent="0.3">
      <c r="A46">
        <v>45</v>
      </c>
      <c r="B46" t="s">
        <v>41</v>
      </c>
      <c r="C46" t="s">
        <v>67</v>
      </c>
      <c r="D46">
        <v>2014</v>
      </c>
      <c r="E46" t="s">
        <v>43</v>
      </c>
      <c r="F46" t="s">
        <v>44</v>
      </c>
      <c r="G46">
        <v>3.8</v>
      </c>
      <c r="H46">
        <v>5.81</v>
      </c>
      <c r="I46">
        <v>0.36</v>
      </c>
      <c r="J46">
        <v>2.02</v>
      </c>
      <c r="K46">
        <v>11.98</v>
      </c>
    </row>
    <row r="47" spans="1:11" x14ac:dyDescent="0.3">
      <c r="A47">
        <v>46</v>
      </c>
      <c r="B47" t="s">
        <v>76</v>
      </c>
      <c r="C47" t="s">
        <v>26</v>
      </c>
      <c r="D47">
        <v>2009</v>
      </c>
      <c r="E47" t="s">
        <v>43</v>
      </c>
      <c r="F47" t="s">
        <v>14</v>
      </c>
      <c r="G47">
        <v>4.4000000000000004</v>
      </c>
      <c r="H47">
        <v>2.77</v>
      </c>
      <c r="I47">
        <v>3.96</v>
      </c>
      <c r="J47">
        <v>0.77</v>
      </c>
      <c r="K47">
        <v>11.9</v>
      </c>
    </row>
    <row r="48" spans="1:11" x14ac:dyDescent="0.3">
      <c r="A48">
        <v>47</v>
      </c>
      <c r="B48" t="s">
        <v>77</v>
      </c>
      <c r="C48" t="s">
        <v>78</v>
      </c>
      <c r="D48">
        <v>1996</v>
      </c>
      <c r="E48" t="s">
        <v>2</v>
      </c>
      <c r="F48" t="s">
        <v>14</v>
      </c>
      <c r="G48">
        <v>6.91</v>
      </c>
      <c r="H48">
        <v>2.85</v>
      </c>
      <c r="I48">
        <v>1.91</v>
      </c>
      <c r="J48">
        <v>0.23</v>
      </c>
      <c r="K48">
        <v>11.89</v>
      </c>
    </row>
    <row r="49" spans="1:11" x14ac:dyDescent="0.3">
      <c r="A49">
        <v>48</v>
      </c>
      <c r="B49" t="s">
        <v>79</v>
      </c>
      <c r="C49" t="s">
        <v>46</v>
      </c>
      <c r="D49">
        <v>2004</v>
      </c>
      <c r="E49" t="s">
        <v>18</v>
      </c>
      <c r="F49" t="s">
        <v>59</v>
      </c>
      <c r="G49">
        <v>3.01</v>
      </c>
      <c r="H49">
        <v>0.01</v>
      </c>
      <c r="I49">
        <v>1.1000000000000001</v>
      </c>
      <c r="J49">
        <v>7.53</v>
      </c>
      <c r="K49">
        <v>11.66</v>
      </c>
    </row>
    <row r="50" spans="1:11" x14ac:dyDescent="0.3">
      <c r="A50">
        <v>49</v>
      </c>
      <c r="B50" t="s">
        <v>80</v>
      </c>
      <c r="C50" t="s">
        <v>12</v>
      </c>
      <c r="D50">
        <v>2007</v>
      </c>
      <c r="E50" t="s">
        <v>2</v>
      </c>
      <c r="F50" t="s">
        <v>14</v>
      </c>
      <c r="G50">
        <v>6.16</v>
      </c>
      <c r="H50">
        <v>3.4</v>
      </c>
      <c r="I50">
        <v>1.2</v>
      </c>
      <c r="J50">
        <v>0.76</v>
      </c>
      <c r="K50">
        <v>11.52</v>
      </c>
    </row>
    <row r="51" spans="1:11" x14ac:dyDescent="0.3">
      <c r="A51">
        <v>50</v>
      </c>
      <c r="B51" t="s">
        <v>81</v>
      </c>
      <c r="C51" t="s">
        <v>65</v>
      </c>
      <c r="D51">
        <v>2014</v>
      </c>
      <c r="E51" t="s">
        <v>22</v>
      </c>
      <c r="F51" t="s">
        <v>14</v>
      </c>
      <c r="G51">
        <v>4.2300000000000004</v>
      </c>
      <c r="H51">
        <v>3.37</v>
      </c>
      <c r="I51">
        <v>3.08</v>
      </c>
      <c r="J51">
        <v>0.65</v>
      </c>
      <c r="K51">
        <v>11.33</v>
      </c>
    </row>
    <row r="52" spans="1:11" x14ac:dyDescent="0.3">
      <c r="A52">
        <v>51</v>
      </c>
      <c r="B52" t="s">
        <v>82</v>
      </c>
      <c r="C52" t="s">
        <v>21</v>
      </c>
      <c r="D52">
        <v>1992</v>
      </c>
      <c r="E52" t="s">
        <v>83</v>
      </c>
      <c r="F52" t="s">
        <v>14</v>
      </c>
      <c r="G52">
        <v>6.16</v>
      </c>
      <c r="H52">
        <v>2.04</v>
      </c>
      <c r="I52">
        <v>2.69</v>
      </c>
      <c r="J52">
        <v>0.28999999999999998</v>
      </c>
      <c r="K52">
        <v>11.18</v>
      </c>
    </row>
    <row r="53" spans="1:11" x14ac:dyDescent="0.3">
      <c r="A53">
        <v>52</v>
      </c>
      <c r="B53" t="s">
        <v>84</v>
      </c>
      <c r="C53" t="s">
        <v>39</v>
      </c>
      <c r="D53">
        <v>2008</v>
      </c>
      <c r="E53" t="s">
        <v>43</v>
      </c>
      <c r="F53" t="s">
        <v>44</v>
      </c>
      <c r="G53">
        <v>6.76</v>
      </c>
      <c r="H53">
        <v>3.1</v>
      </c>
      <c r="I53">
        <v>0.14000000000000001</v>
      </c>
      <c r="J53">
        <v>1.03</v>
      </c>
      <c r="K53">
        <v>11.02</v>
      </c>
    </row>
    <row r="54" spans="1:11" x14ac:dyDescent="0.3">
      <c r="A54">
        <v>53</v>
      </c>
      <c r="B54" t="s">
        <v>85</v>
      </c>
      <c r="C54" t="s">
        <v>86</v>
      </c>
      <c r="D54">
        <v>1997</v>
      </c>
      <c r="E54" t="s">
        <v>18</v>
      </c>
      <c r="F54" t="s">
        <v>59</v>
      </c>
      <c r="G54">
        <v>4.0199999999999996</v>
      </c>
      <c r="H54">
        <v>3.87</v>
      </c>
      <c r="I54">
        <v>2.54</v>
      </c>
      <c r="J54">
        <v>0.52</v>
      </c>
      <c r="K54">
        <v>10.95</v>
      </c>
    </row>
    <row r="55" spans="1:11" x14ac:dyDescent="0.3">
      <c r="A55">
        <v>54</v>
      </c>
      <c r="B55" t="s">
        <v>87</v>
      </c>
      <c r="C55" t="s">
        <v>65</v>
      </c>
      <c r="D55">
        <v>2011</v>
      </c>
      <c r="E55" t="s">
        <v>2</v>
      </c>
      <c r="F55" t="s">
        <v>14</v>
      </c>
      <c r="G55">
        <v>4.8899999999999997</v>
      </c>
      <c r="H55">
        <v>2.99</v>
      </c>
      <c r="I55">
        <v>2.13</v>
      </c>
      <c r="J55">
        <v>0.78</v>
      </c>
      <c r="K55">
        <v>10.79</v>
      </c>
    </row>
    <row r="56" spans="1:11" x14ac:dyDescent="0.3">
      <c r="A56">
        <v>55</v>
      </c>
      <c r="B56" t="s">
        <v>88</v>
      </c>
      <c r="C56" t="s">
        <v>42</v>
      </c>
      <c r="D56">
        <v>2010</v>
      </c>
      <c r="E56" t="s">
        <v>18</v>
      </c>
      <c r="F56" t="s">
        <v>59</v>
      </c>
      <c r="G56">
        <v>2.96</v>
      </c>
      <c r="H56">
        <v>4.88</v>
      </c>
      <c r="I56">
        <v>0.81</v>
      </c>
      <c r="J56">
        <v>2.12</v>
      </c>
      <c r="K56">
        <v>10.77</v>
      </c>
    </row>
    <row r="57" spans="1:11" x14ac:dyDescent="0.3">
      <c r="A57">
        <v>56</v>
      </c>
      <c r="B57" t="s">
        <v>69</v>
      </c>
      <c r="C57" t="s">
        <v>42</v>
      </c>
      <c r="D57">
        <v>2009</v>
      </c>
      <c r="E57" t="s">
        <v>31</v>
      </c>
      <c r="F57" t="s">
        <v>61</v>
      </c>
      <c r="G57">
        <v>4.99</v>
      </c>
      <c r="H57">
        <v>3.69</v>
      </c>
      <c r="I57">
        <v>0.38</v>
      </c>
      <c r="J57">
        <v>1.63</v>
      </c>
      <c r="K57">
        <v>10.69</v>
      </c>
    </row>
    <row r="58" spans="1:11" x14ac:dyDescent="0.3">
      <c r="A58">
        <v>57</v>
      </c>
      <c r="B58" t="s">
        <v>84</v>
      </c>
      <c r="C58" t="s">
        <v>42</v>
      </c>
      <c r="D58">
        <v>2008</v>
      </c>
      <c r="E58" t="s">
        <v>43</v>
      </c>
      <c r="F58" t="s">
        <v>44</v>
      </c>
      <c r="G58">
        <v>4.76</v>
      </c>
      <c r="H58">
        <v>3.76</v>
      </c>
      <c r="I58">
        <v>0.44</v>
      </c>
      <c r="J58">
        <v>1.62</v>
      </c>
      <c r="K58">
        <v>10.57</v>
      </c>
    </row>
    <row r="59" spans="1:11" x14ac:dyDescent="0.3">
      <c r="A59">
        <v>58</v>
      </c>
      <c r="B59" t="s">
        <v>89</v>
      </c>
      <c r="C59" t="s">
        <v>48</v>
      </c>
      <c r="D59">
        <v>1993</v>
      </c>
      <c r="E59" t="s">
        <v>2</v>
      </c>
      <c r="F59" t="s">
        <v>14</v>
      </c>
      <c r="G59">
        <v>5.99</v>
      </c>
      <c r="H59">
        <v>2.15</v>
      </c>
      <c r="I59">
        <v>2.12</v>
      </c>
      <c r="J59">
        <v>0.28999999999999998</v>
      </c>
      <c r="K59">
        <v>10.55</v>
      </c>
    </row>
    <row r="60" spans="1:11" x14ac:dyDescent="0.3">
      <c r="A60">
        <v>59</v>
      </c>
      <c r="B60" t="s">
        <v>90</v>
      </c>
      <c r="C60" t="s">
        <v>55</v>
      </c>
      <c r="D60">
        <v>2004</v>
      </c>
      <c r="E60" t="s">
        <v>22</v>
      </c>
      <c r="F60" t="s">
        <v>14</v>
      </c>
      <c r="G60">
        <v>4.34</v>
      </c>
      <c r="H60">
        <v>2.65</v>
      </c>
      <c r="I60">
        <v>3.15</v>
      </c>
      <c r="J60">
        <v>0.35</v>
      </c>
      <c r="K60">
        <v>10.49</v>
      </c>
    </row>
    <row r="61" spans="1:11" x14ac:dyDescent="0.3">
      <c r="A61">
        <v>60</v>
      </c>
      <c r="B61" t="s">
        <v>77</v>
      </c>
      <c r="C61" t="s">
        <v>26</v>
      </c>
      <c r="D61">
        <v>2004</v>
      </c>
      <c r="E61" t="s">
        <v>2</v>
      </c>
      <c r="F61" t="s">
        <v>14</v>
      </c>
      <c r="G61">
        <v>5.08</v>
      </c>
      <c r="H61">
        <v>3.11</v>
      </c>
      <c r="I61">
        <v>1.25</v>
      </c>
      <c r="J61">
        <v>0.98</v>
      </c>
      <c r="K61">
        <v>10.42</v>
      </c>
    </row>
    <row r="62" spans="1:11" x14ac:dyDescent="0.3">
      <c r="A62">
        <v>61</v>
      </c>
      <c r="B62" t="s">
        <v>91</v>
      </c>
      <c r="C62" t="s">
        <v>12</v>
      </c>
      <c r="D62">
        <v>2011</v>
      </c>
      <c r="E62" t="s">
        <v>28</v>
      </c>
      <c r="F62" t="s">
        <v>92</v>
      </c>
      <c r="G62">
        <v>6.05</v>
      </c>
      <c r="H62">
        <v>3.15</v>
      </c>
      <c r="I62">
        <v>0</v>
      </c>
      <c r="J62">
        <v>1.07</v>
      </c>
      <c r="K62">
        <v>10.26</v>
      </c>
    </row>
    <row r="63" spans="1:11" x14ac:dyDescent="0.3">
      <c r="A63">
        <v>62</v>
      </c>
      <c r="B63" t="s">
        <v>93</v>
      </c>
      <c r="C63" t="s">
        <v>39</v>
      </c>
      <c r="D63">
        <v>2013</v>
      </c>
      <c r="E63" t="s">
        <v>31</v>
      </c>
      <c r="F63" t="s">
        <v>61</v>
      </c>
      <c r="G63">
        <v>6.72</v>
      </c>
      <c r="H63">
        <v>2.63</v>
      </c>
      <c r="I63">
        <v>0.04</v>
      </c>
      <c r="J63">
        <v>0.82</v>
      </c>
      <c r="K63">
        <v>10.210000000000001</v>
      </c>
    </row>
    <row r="64" spans="1:11" x14ac:dyDescent="0.3">
      <c r="A64">
        <v>63</v>
      </c>
      <c r="B64" t="s">
        <v>94</v>
      </c>
      <c r="C64" t="s">
        <v>39</v>
      </c>
      <c r="D64">
        <v>2010</v>
      </c>
      <c r="E64" t="s">
        <v>31</v>
      </c>
      <c r="F64" t="s">
        <v>40</v>
      </c>
      <c r="G64">
        <v>7.03</v>
      </c>
      <c r="H64">
        <v>1.98</v>
      </c>
      <c r="I64">
        <v>0.08</v>
      </c>
      <c r="J64">
        <v>0.78</v>
      </c>
      <c r="K64">
        <v>9.8800000000000008</v>
      </c>
    </row>
    <row r="65" spans="1:11" x14ac:dyDescent="0.3">
      <c r="A65">
        <v>64</v>
      </c>
      <c r="B65" t="s">
        <v>95</v>
      </c>
      <c r="C65" t="s">
        <v>78</v>
      </c>
      <c r="D65">
        <v>1996</v>
      </c>
      <c r="E65" t="s">
        <v>18</v>
      </c>
      <c r="F65" t="s">
        <v>14</v>
      </c>
      <c r="G65">
        <v>5.55</v>
      </c>
      <c r="H65">
        <v>1.94</v>
      </c>
      <c r="I65">
        <v>2.23</v>
      </c>
      <c r="J65">
        <v>0.15</v>
      </c>
      <c r="K65">
        <v>9.8699999999999992</v>
      </c>
    </row>
    <row r="66" spans="1:11" x14ac:dyDescent="0.3">
      <c r="A66">
        <v>65</v>
      </c>
      <c r="B66" t="s">
        <v>96</v>
      </c>
      <c r="C66" t="s">
        <v>65</v>
      </c>
      <c r="D66">
        <v>2012</v>
      </c>
      <c r="E66" t="s">
        <v>2</v>
      </c>
      <c r="F66" t="s">
        <v>14</v>
      </c>
      <c r="G66">
        <v>3.66</v>
      </c>
      <c r="H66">
        <v>3.07</v>
      </c>
      <c r="I66">
        <v>2.4700000000000002</v>
      </c>
      <c r="J66">
        <v>0.63</v>
      </c>
      <c r="K66">
        <v>9.82</v>
      </c>
    </row>
    <row r="67" spans="1:11" x14ac:dyDescent="0.3">
      <c r="A67">
        <v>66</v>
      </c>
      <c r="B67" t="s">
        <v>97</v>
      </c>
      <c r="C67" t="s">
        <v>39</v>
      </c>
      <c r="D67">
        <v>2012</v>
      </c>
      <c r="E67" t="s">
        <v>31</v>
      </c>
      <c r="F67" t="s">
        <v>40</v>
      </c>
      <c r="G67">
        <v>6.63</v>
      </c>
      <c r="H67">
        <v>2.36</v>
      </c>
      <c r="I67">
        <v>0.04</v>
      </c>
      <c r="J67">
        <v>0.73</v>
      </c>
      <c r="K67">
        <v>9.76</v>
      </c>
    </row>
    <row r="68" spans="1:11" x14ac:dyDescent="0.3">
      <c r="A68">
        <v>67</v>
      </c>
      <c r="B68" t="s">
        <v>98</v>
      </c>
      <c r="C68" t="s">
        <v>86</v>
      </c>
      <c r="D68">
        <v>1997</v>
      </c>
      <c r="E68" t="s">
        <v>22</v>
      </c>
      <c r="F68" t="s">
        <v>59</v>
      </c>
      <c r="G68">
        <v>3.01</v>
      </c>
      <c r="H68">
        <v>2.4700000000000002</v>
      </c>
      <c r="I68">
        <v>3.28</v>
      </c>
      <c r="J68">
        <v>0.96</v>
      </c>
      <c r="K68">
        <v>9.7200000000000006</v>
      </c>
    </row>
    <row r="69" spans="1:11" x14ac:dyDescent="0.3">
      <c r="A69">
        <v>68</v>
      </c>
      <c r="B69" t="s">
        <v>93</v>
      </c>
      <c r="C69" t="s">
        <v>42</v>
      </c>
      <c r="D69">
        <v>2013</v>
      </c>
      <c r="E69" t="s">
        <v>31</v>
      </c>
      <c r="F69" t="s">
        <v>61</v>
      </c>
      <c r="G69">
        <v>4.09</v>
      </c>
      <c r="H69">
        <v>3.73</v>
      </c>
      <c r="I69">
        <v>0.38</v>
      </c>
      <c r="J69">
        <v>1.38</v>
      </c>
      <c r="K69">
        <v>9.59</v>
      </c>
    </row>
    <row r="70" spans="1:11" x14ac:dyDescent="0.3">
      <c r="A70">
        <v>69</v>
      </c>
      <c r="B70" t="s">
        <v>99</v>
      </c>
      <c r="C70" t="s">
        <v>12</v>
      </c>
      <c r="D70">
        <v>2010</v>
      </c>
      <c r="E70" t="s">
        <v>28</v>
      </c>
      <c r="F70" t="s">
        <v>92</v>
      </c>
      <c r="G70">
        <v>5.84</v>
      </c>
      <c r="H70">
        <v>2.89</v>
      </c>
      <c r="I70">
        <v>0.01</v>
      </c>
      <c r="J70">
        <v>0.78</v>
      </c>
      <c r="K70">
        <v>9.52</v>
      </c>
    </row>
    <row r="71" spans="1:11" x14ac:dyDescent="0.3">
      <c r="A71">
        <v>70</v>
      </c>
      <c r="B71" t="s">
        <v>100</v>
      </c>
      <c r="C71" t="s">
        <v>86</v>
      </c>
      <c r="D71">
        <v>1999</v>
      </c>
      <c r="E71" t="s">
        <v>18</v>
      </c>
      <c r="F71" t="s">
        <v>59</v>
      </c>
      <c r="G71">
        <v>3.88</v>
      </c>
      <c r="H71">
        <v>3.42</v>
      </c>
      <c r="I71">
        <v>1.69</v>
      </c>
      <c r="J71">
        <v>0.5</v>
      </c>
      <c r="K71">
        <v>9.49</v>
      </c>
    </row>
    <row r="72" spans="1:11" x14ac:dyDescent="0.3">
      <c r="A72">
        <v>71</v>
      </c>
      <c r="B72" t="s">
        <v>101</v>
      </c>
      <c r="C72" t="s">
        <v>39</v>
      </c>
      <c r="D72">
        <v>2007</v>
      </c>
      <c r="E72" t="s">
        <v>31</v>
      </c>
      <c r="F72" t="s">
        <v>61</v>
      </c>
      <c r="G72">
        <v>5.91</v>
      </c>
      <c r="H72">
        <v>2.38</v>
      </c>
      <c r="I72">
        <v>0.13</v>
      </c>
      <c r="J72">
        <v>0.9</v>
      </c>
      <c r="K72">
        <v>9.32</v>
      </c>
    </row>
    <row r="73" spans="1:11" x14ac:dyDescent="0.3">
      <c r="A73">
        <v>72</v>
      </c>
      <c r="B73" t="s">
        <v>102</v>
      </c>
      <c r="C73" t="s">
        <v>48</v>
      </c>
      <c r="D73">
        <v>1994</v>
      </c>
      <c r="E73" t="s">
        <v>2</v>
      </c>
      <c r="F73" t="s">
        <v>14</v>
      </c>
      <c r="G73">
        <v>4.3600000000000003</v>
      </c>
      <c r="H73">
        <v>1.71</v>
      </c>
      <c r="I73">
        <v>3</v>
      </c>
      <c r="J73">
        <v>0.23</v>
      </c>
      <c r="K73">
        <v>9.3000000000000007</v>
      </c>
    </row>
    <row r="74" spans="1:11" x14ac:dyDescent="0.3">
      <c r="A74">
        <v>73</v>
      </c>
      <c r="B74" t="s">
        <v>103</v>
      </c>
      <c r="C74" t="s">
        <v>39</v>
      </c>
      <c r="D74">
        <v>2013</v>
      </c>
      <c r="E74" t="s">
        <v>28</v>
      </c>
      <c r="F74" t="s">
        <v>40</v>
      </c>
      <c r="G74">
        <v>5.58</v>
      </c>
      <c r="H74">
        <v>2.83</v>
      </c>
      <c r="I74">
        <v>0.02</v>
      </c>
      <c r="J74">
        <v>0.77</v>
      </c>
      <c r="K74">
        <v>9.1999999999999993</v>
      </c>
    </row>
    <row r="75" spans="1:11" x14ac:dyDescent="0.3">
      <c r="A75">
        <v>74</v>
      </c>
      <c r="B75" t="s">
        <v>104</v>
      </c>
      <c r="C75" t="s">
        <v>65</v>
      </c>
      <c r="D75">
        <v>2012</v>
      </c>
      <c r="E75" t="s">
        <v>33</v>
      </c>
      <c r="F75" t="s">
        <v>14</v>
      </c>
      <c r="G75">
        <v>2.0099999999999998</v>
      </c>
      <c r="H75">
        <v>2.3199999999999998</v>
      </c>
      <c r="I75">
        <v>4.3600000000000003</v>
      </c>
      <c r="J75">
        <v>0.41</v>
      </c>
      <c r="K75">
        <v>9.09</v>
      </c>
    </row>
    <row r="76" spans="1:11" x14ac:dyDescent="0.3">
      <c r="A76">
        <v>75</v>
      </c>
      <c r="B76" t="s">
        <v>105</v>
      </c>
      <c r="C76" t="s">
        <v>26</v>
      </c>
      <c r="D76">
        <v>2007</v>
      </c>
      <c r="E76" t="s">
        <v>28</v>
      </c>
      <c r="F76" t="s">
        <v>14</v>
      </c>
      <c r="G76">
        <v>4.46</v>
      </c>
      <c r="H76">
        <v>1.88</v>
      </c>
      <c r="I76">
        <v>1.98</v>
      </c>
      <c r="J76">
        <v>0.7</v>
      </c>
      <c r="K76">
        <v>9.02</v>
      </c>
    </row>
    <row r="77" spans="1:11" x14ac:dyDescent="0.3">
      <c r="A77">
        <v>76</v>
      </c>
      <c r="B77" t="s">
        <v>106</v>
      </c>
      <c r="C77" t="s">
        <v>39</v>
      </c>
      <c r="D77">
        <v>2011</v>
      </c>
      <c r="E77" t="s">
        <v>22</v>
      </c>
      <c r="F77" t="s">
        <v>107</v>
      </c>
      <c r="G77">
        <v>5.03</v>
      </c>
      <c r="H77">
        <v>2.86</v>
      </c>
      <c r="I77">
        <v>0.1</v>
      </c>
      <c r="J77">
        <v>0.85</v>
      </c>
      <c r="K77">
        <v>8.84</v>
      </c>
    </row>
    <row r="78" spans="1:11" x14ac:dyDescent="0.3">
      <c r="A78">
        <v>77</v>
      </c>
      <c r="B78" t="s">
        <v>108</v>
      </c>
      <c r="C78" t="s">
        <v>48</v>
      </c>
      <c r="D78">
        <v>1992</v>
      </c>
      <c r="E78" t="s">
        <v>18</v>
      </c>
      <c r="F78" t="s">
        <v>14</v>
      </c>
      <c r="G78">
        <v>3.54</v>
      </c>
      <c r="H78">
        <v>1.24</v>
      </c>
      <c r="I78">
        <v>3.81</v>
      </c>
      <c r="J78">
        <v>0.18</v>
      </c>
      <c r="K78">
        <v>8.76</v>
      </c>
    </row>
    <row r="79" spans="1:11" x14ac:dyDescent="0.3">
      <c r="A79">
        <v>78</v>
      </c>
      <c r="B79" t="s">
        <v>109</v>
      </c>
      <c r="C79" t="s">
        <v>67</v>
      </c>
      <c r="D79">
        <v>2015</v>
      </c>
      <c r="E79" t="s">
        <v>13</v>
      </c>
      <c r="F79" t="s">
        <v>110</v>
      </c>
      <c r="G79">
        <v>1.1100000000000001</v>
      </c>
      <c r="H79">
        <v>6.06</v>
      </c>
      <c r="I79">
        <v>0.06</v>
      </c>
      <c r="J79">
        <v>1.26</v>
      </c>
      <c r="K79">
        <v>8.49</v>
      </c>
    </row>
    <row r="80" spans="1:11" x14ac:dyDescent="0.3">
      <c r="A80">
        <v>79</v>
      </c>
      <c r="B80" t="s">
        <v>111</v>
      </c>
      <c r="C80" t="s">
        <v>12</v>
      </c>
      <c r="D80">
        <v>2010</v>
      </c>
      <c r="E80" t="s">
        <v>28</v>
      </c>
      <c r="F80" t="s">
        <v>14</v>
      </c>
      <c r="G80">
        <v>1.79</v>
      </c>
      <c r="H80">
        <v>3.53</v>
      </c>
      <c r="I80">
        <v>2.4900000000000002</v>
      </c>
      <c r="J80">
        <v>0.68</v>
      </c>
      <c r="K80">
        <v>8.49</v>
      </c>
    </row>
    <row r="81" spans="1:11" x14ac:dyDescent="0.3">
      <c r="A81">
        <v>80</v>
      </c>
      <c r="B81" t="s">
        <v>112</v>
      </c>
      <c r="C81" t="s">
        <v>113</v>
      </c>
      <c r="D81">
        <v>2004</v>
      </c>
      <c r="E81" t="s">
        <v>31</v>
      </c>
      <c r="F81" t="s">
        <v>40</v>
      </c>
      <c r="G81">
        <v>6.82</v>
      </c>
      <c r="H81">
        <v>1.53</v>
      </c>
      <c r="I81">
        <v>0.05</v>
      </c>
      <c r="J81">
        <v>0.08</v>
      </c>
      <c r="K81">
        <v>8.49</v>
      </c>
    </row>
    <row r="82" spans="1:11" x14ac:dyDescent="0.3">
      <c r="A82">
        <v>81</v>
      </c>
      <c r="B82" t="s">
        <v>114</v>
      </c>
      <c r="C82" t="s">
        <v>12</v>
      </c>
      <c r="D82">
        <v>2007</v>
      </c>
      <c r="E82" t="s">
        <v>28</v>
      </c>
      <c r="F82" t="s">
        <v>14</v>
      </c>
      <c r="G82">
        <v>3.81</v>
      </c>
      <c r="H82">
        <v>2.2999999999999998</v>
      </c>
      <c r="I82">
        <v>1.58</v>
      </c>
      <c r="J82">
        <v>0.73</v>
      </c>
      <c r="K82">
        <v>8.42</v>
      </c>
    </row>
    <row r="83" spans="1:11" x14ac:dyDescent="0.3">
      <c r="A83">
        <v>82</v>
      </c>
      <c r="B83" t="s">
        <v>115</v>
      </c>
      <c r="C83" t="s">
        <v>26</v>
      </c>
      <c r="D83">
        <v>2012</v>
      </c>
      <c r="E83" t="s">
        <v>22</v>
      </c>
      <c r="F83" t="s">
        <v>14</v>
      </c>
      <c r="G83">
        <v>2.91</v>
      </c>
      <c r="H83">
        <v>1.86</v>
      </c>
      <c r="I83">
        <v>3.14</v>
      </c>
      <c r="J83">
        <v>0.43</v>
      </c>
      <c r="K83">
        <v>8.33</v>
      </c>
    </row>
    <row r="84" spans="1:11" x14ac:dyDescent="0.3">
      <c r="A84">
        <v>83</v>
      </c>
      <c r="B84" t="s">
        <v>116</v>
      </c>
      <c r="C84" t="s">
        <v>42</v>
      </c>
      <c r="D84">
        <v>2012</v>
      </c>
      <c r="E84" t="s">
        <v>43</v>
      </c>
      <c r="F84" t="s">
        <v>110</v>
      </c>
      <c r="G84">
        <v>1.06</v>
      </c>
      <c r="H84">
        <v>5.05</v>
      </c>
      <c r="I84">
        <v>0.13</v>
      </c>
      <c r="J84">
        <v>2.0099999999999998</v>
      </c>
      <c r="K84">
        <v>8.24</v>
      </c>
    </row>
    <row r="85" spans="1:11" x14ac:dyDescent="0.3">
      <c r="A85">
        <v>84</v>
      </c>
      <c r="B85" t="s">
        <v>117</v>
      </c>
      <c r="C85" t="s">
        <v>118</v>
      </c>
      <c r="D85">
        <v>2009</v>
      </c>
      <c r="E85" t="s">
        <v>33</v>
      </c>
      <c r="F85" t="s">
        <v>110</v>
      </c>
      <c r="G85">
        <v>0.98</v>
      </c>
      <c r="H85">
        <v>6.42</v>
      </c>
      <c r="I85">
        <v>0</v>
      </c>
      <c r="J85">
        <v>0.71</v>
      </c>
      <c r="K85">
        <v>8.11</v>
      </c>
    </row>
    <row r="86" spans="1:11" x14ac:dyDescent="0.3">
      <c r="A86">
        <v>85</v>
      </c>
      <c r="B86" t="s">
        <v>119</v>
      </c>
      <c r="C86" t="s">
        <v>78</v>
      </c>
      <c r="D86">
        <v>1997</v>
      </c>
      <c r="E86" t="s">
        <v>31</v>
      </c>
      <c r="F86" t="s">
        <v>14</v>
      </c>
      <c r="G86">
        <v>5.8</v>
      </c>
      <c r="H86">
        <v>2.0099999999999998</v>
      </c>
      <c r="I86">
        <v>0.13</v>
      </c>
      <c r="J86">
        <v>0.15</v>
      </c>
      <c r="K86">
        <v>8.09</v>
      </c>
    </row>
    <row r="87" spans="1:11" x14ac:dyDescent="0.3">
      <c r="A87">
        <v>86</v>
      </c>
      <c r="B87" t="s">
        <v>120</v>
      </c>
      <c r="C87" t="s">
        <v>12</v>
      </c>
      <c r="D87">
        <v>2007</v>
      </c>
      <c r="E87" t="s">
        <v>13</v>
      </c>
      <c r="F87" t="s">
        <v>121</v>
      </c>
      <c r="G87">
        <v>2.58</v>
      </c>
      <c r="H87">
        <v>3.9</v>
      </c>
      <c r="I87">
        <v>0.66</v>
      </c>
      <c r="J87">
        <v>0.91</v>
      </c>
      <c r="K87">
        <v>8.06</v>
      </c>
    </row>
    <row r="88" spans="1:11" x14ac:dyDescent="0.3">
      <c r="A88">
        <v>87</v>
      </c>
      <c r="B88" t="s">
        <v>122</v>
      </c>
      <c r="C88" t="s">
        <v>46</v>
      </c>
      <c r="D88">
        <v>2001</v>
      </c>
      <c r="E88" t="s">
        <v>22</v>
      </c>
      <c r="F88" t="s">
        <v>59</v>
      </c>
      <c r="G88">
        <v>2.91</v>
      </c>
      <c r="H88">
        <v>2.0699999999999998</v>
      </c>
      <c r="I88">
        <v>2.73</v>
      </c>
      <c r="J88">
        <v>0.33</v>
      </c>
      <c r="K88">
        <v>8.0500000000000007</v>
      </c>
    </row>
    <row r="89" spans="1:11" x14ac:dyDescent="0.3">
      <c r="A89">
        <v>88</v>
      </c>
      <c r="B89" t="s">
        <v>123</v>
      </c>
      <c r="C89" t="s">
        <v>86</v>
      </c>
      <c r="D89">
        <v>1999</v>
      </c>
      <c r="E89" t="s">
        <v>22</v>
      </c>
      <c r="F89" t="s">
        <v>124</v>
      </c>
      <c r="G89">
        <v>2.2799999999999998</v>
      </c>
      <c r="H89">
        <v>1.72</v>
      </c>
      <c r="I89">
        <v>3.63</v>
      </c>
      <c r="J89">
        <v>0.23</v>
      </c>
      <c r="K89">
        <v>7.86</v>
      </c>
    </row>
    <row r="90" spans="1:11" x14ac:dyDescent="0.3">
      <c r="A90">
        <v>89</v>
      </c>
      <c r="B90" t="s">
        <v>125</v>
      </c>
      <c r="C90" t="s">
        <v>26</v>
      </c>
      <c r="D90">
        <v>2008</v>
      </c>
      <c r="E90" t="s">
        <v>22</v>
      </c>
      <c r="F90" t="s">
        <v>14</v>
      </c>
      <c r="G90">
        <v>2.82</v>
      </c>
      <c r="H90">
        <v>1.78</v>
      </c>
      <c r="I90">
        <v>2.69</v>
      </c>
      <c r="J90">
        <v>0.55000000000000004</v>
      </c>
      <c r="K90">
        <v>7.84</v>
      </c>
    </row>
    <row r="91" spans="1:11" x14ac:dyDescent="0.3">
      <c r="A91">
        <v>90</v>
      </c>
      <c r="B91" t="s">
        <v>126</v>
      </c>
      <c r="C91">
        <v>2600</v>
      </c>
      <c r="D91">
        <v>1982</v>
      </c>
      <c r="E91" t="s">
        <v>24</v>
      </c>
      <c r="F91" t="s">
        <v>127</v>
      </c>
      <c r="G91">
        <v>7.28</v>
      </c>
      <c r="H91">
        <v>0.45</v>
      </c>
      <c r="I91">
        <v>0</v>
      </c>
      <c r="J91">
        <v>0.08</v>
      </c>
      <c r="K91">
        <v>7.81</v>
      </c>
    </row>
    <row r="92" spans="1:11" x14ac:dyDescent="0.3">
      <c r="A92">
        <v>91</v>
      </c>
      <c r="B92" t="s">
        <v>128</v>
      </c>
      <c r="C92" t="s">
        <v>129</v>
      </c>
      <c r="D92">
        <v>2005</v>
      </c>
      <c r="E92" t="s">
        <v>43</v>
      </c>
      <c r="F92" t="s">
        <v>44</v>
      </c>
      <c r="G92">
        <v>2.9</v>
      </c>
      <c r="H92">
        <v>2.83</v>
      </c>
      <c r="I92">
        <v>0.24</v>
      </c>
      <c r="J92">
        <v>1.75</v>
      </c>
      <c r="K92">
        <v>7.72</v>
      </c>
    </row>
    <row r="93" spans="1:11" x14ac:dyDescent="0.3">
      <c r="A93">
        <v>92</v>
      </c>
      <c r="B93" t="s">
        <v>130</v>
      </c>
      <c r="C93" t="s">
        <v>12</v>
      </c>
      <c r="D93">
        <v>2010</v>
      </c>
      <c r="E93" t="s">
        <v>2</v>
      </c>
      <c r="F93" t="s">
        <v>14</v>
      </c>
      <c r="G93">
        <v>3.66</v>
      </c>
      <c r="H93">
        <v>2.42</v>
      </c>
      <c r="I93">
        <v>0.98</v>
      </c>
      <c r="J93">
        <v>0.64</v>
      </c>
      <c r="K93">
        <v>7.69</v>
      </c>
    </row>
    <row r="94" spans="1:11" x14ac:dyDescent="0.3">
      <c r="A94">
        <v>93</v>
      </c>
      <c r="B94" t="s">
        <v>131</v>
      </c>
      <c r="C94" t="s">
        <v>67</v>
      </c>
      <c r="D94">
        <v>2015</v>
      </c>
      <c r="E94" t="s">
        <v>31</v>
      </c>
      <c r="F94" t="s">
        <v>110</v>
      </c>
      <c r="G94">
        <v>2.93</v>
      </c>
      <c r="H94">
        <v>3.29</v>
      </c>
      <c r="I94">
        <v>0.22</v>
      </c>
      <c r="J94">
        <v>1.23</v>
      </c>
      <c r="K94">
        <v>7.67</v>
      </c>
    </row>
    <row r="95" spans="1:11" x14ac:dyDescent="0.3">
      <c r="A95">
        <v>94</v>
      </c>
      <c r="B95" t="s">
        <v>132</v>
      </c>
      <c r="C95" t="s">
        <v>67</v>
      </c>
      <c r="D95">
        <v>2014</v>
      </c>
      <c r="E95" t="s">
        <v>31</v>
      </c>
      <c r="F95" t="s">
        <v>61</v>
      </c>
      <c r="G95">
        <v>2.8</v>
      </c>
      <c r="H95">
        <v>3.3</v>
      </c>
      <c r="I95">
        <v>0.14000000000000001</v>
      </c>
      <c r="J95">
        <v>1.37</v>
      </c>
      <c r="K95">
        <v>7.6</v>
      </c>
    </row>
    <row r="96" spans="1:11" x14ac:dyDescent="0.3">
      <c r="A96">
        <v>95</v>
      </c>
      <c r="B96" t="s">
        <v>133</v>
      </c>
      <c r="C96" t="s">
        <v>78</v>
      </c>
      <c r="D96">
        <v>1998</v>
      </c>
      <c r="E96" t="s">
        <v>43</v>
      </c>
      <c r="F96" t="s">
        <v>14</v>
      </c>
      <c r="G96">
        <v>4.0999999999999996</v>
      </c>
      <c r="H96">
        <v>1.89</v>
      </c>
      <c r="I96">
        <v>1.45</v>
      </c>
      <c r="J96">
        <v>0.16</v>
      </c>
      <c r="K96">
        <v>7.6</v>
      </c>
    </row>
    <row r="97" spans="1:11" x14ac:dyDescent="0.3">
      <c r="A97">
        <v>96</v>
      </c>
      <c r="B97" t="s">
        <v>134</v>
      </c>
      <c r="C97" t="s">
        <v>86</v>
      </c>
      <c r="D97">
        <v>1997</v>
      </c>
      <c r="E97" t="s">
        <v>2</v>
      </c>
      <c r="F97" t="s">
        <v>59</v>
      </c>
      <c r="G97">
        <v>3.78</v>
      </c>
      <c r="H97">
        <v>2.17</v>
      </c>
      <c r="I97">
        <v>1.31</v>
      </c>
      <c r="J97">
        <v>0.31</v>
      </c>
      <c r="K97">
        <v>7.58</v>
      </c>
    </row>
    <row r="98" spans="1:11" x14ac:dyDescent="0.3">
      <c r="A98">
        <v>97</v>
      </c>
      <c r="B98" t="s">
        <v>135</v>
      </c>
      <c r="C98" t="s">
        <v>16</v>
      </c>
      <c r="D98">
        <v>1988</v>
      </c>
      <c r="E98" t="s">
        <v>2</v>
      </c>
      <c r="F98" t="s">
        <v>14</v>
      </c>
      <c r="G98">
        <v>5.39</v>
      </c>
      <c r="H98">
        <v>1.18</v>
      </c>
      <c r="I98">
        <v>0.7</v>
      </c>
      <c r="J98">
        <v>0.19</v>
      </c>
      <c r="K98">
        <v>7.46</v>
      </c>
    </row>
    <row r="99" spans="1:11" x14ac:dyDescent="0.3">
      <c r="A99">
        <v>98</v>
      </c>
      <c r="B99" t="s">
        <v>136</v>
      </c>
      <c r="C99" t="s">
        <v>65</v>
      </c>
      <c r="D99">
        <v>2014</v>
      </c>
      <c r="E99" t="s">
        <v>72</v>
      </c>
      <c r="F99" t="s">
        <v>14</v>
      </c>
      <c r="G99">
        <v>3.24</v>
      </c>
      <c r="H99">
        <v>1.35</v>
      </c>
      <c r="I99">
        <v>2.42</v>
      </c>
      <c r="J99">
        <v>0.43</v>
      </c>
      <c r="K99">
        <v>7.45</v>
      </c>
    </row>
    <row r="100" spans="1:11" x14ac:dyDescent="0.3">
      <c r="A100">
        <v>99</v>
      </c>
      <c r="B100" t="s">
        <v>137</v>
      </c>
      <c r="C100" t="s">
        <v>39</v>
      </c>
      <c r="D100">
        <v>2008</v>
      </c>
      <c r="E100" t="s">
        <v>31</v>
      </c>
      <c r="F100" t="s">
        <v>61</v>
      </c>
      <c r="G100">
        <v>4.79</v>
      </c>
      <c r="H100">
        <v>1.9</v>
      </c>
      <c r="I100">
        <v>0</v>
      </c>
      <c r="J100">
        <v>0.69</v>
      </c>
      <c r="K100">
        <v>7.37</v>
      </c>
    </row>
    <row r="101" spans="1:11" x14ac:dyDescent="0.3">
      <c r="A101">
        <v>100</v>
      </c>
      <c r="B101" t="s">
        <v>138</v>
      </c>
      <c r="C101" t="s">
        <v>39</v>
      </c>
      <c r="D101">
        <v>2011</v>
      </c>
      <c r="E101" t="s">
        <v>31</v>
      </c>
      <c r="F101" t="s">
        <v>110</v>
      </c>
      <c r="G101">
        <v>4.46</v>
      </c>
      <c r="H101">
        <v>2.13</v>
      </c>
      <c r="I101">
        <v>0.06</v>
      </c>
      <c r="J101">
        <v>0.69</v>
      </c>
      <c r="K101">
        <v>7.34</v>
      </c>
    </row>
    <row r="102" spans="1:11" x14ac:dyDescent="0.3">
      <c r="A102">
        <v>101</v>
      </c>
      <c r="B102" t="s">
        <v>139</v>
      </c>
      <c r="C102" t="s">
        <v>12</v>
      </c>
      <c r="D102">
        <v>2006</v>
      </c>
      <c r="E102" t="s">
        <v>43</v>
      </c>
      <c r="F102" t="s">
        <v>14</v>
      </c>
      <c r="G102">
        <v>3.83</v>
      </c>
      <c r="H102">
        <v>2.19</v>
      </c>
      <c r="I102">
        <v>0.6</v>
      </c>
      <c r="J102">
        <v>0.7</v>
      </c>
      <c r="K102">
        <v>7.31</v>
      </c>
    </row>
    <row r="103" spans="1:11" x14ac:dyDescent="0.3">
      <c r="A103">
        <v>102</v>
      </c>
      <c r="B103" t="s">
        <v>66</v>
      </c>
      <c r="C103" t="s">
        <v>140</v>
      </c>
      <c r="D103">
        <v>2015</v>
      </c>
      <c r="E103" t="s">
        <v>31</v>
      </c>
      <c r="F103" t="s">
        <v>61</v>
      </c>
      <c r="G103">
        <v>4.5199999999999996</v>
      </c>
      <c r="H103">
        <v>2.09</v>
      </c>
      <c r="I103">
        <v>0.01</v>
      </c>
      <c r="J103">
        <v>0.67</v>
      </c>
      <c r="K103">
        <v>7.3</v>
      </c>
    </row>
    <row r="104" spans="1:11" x14ac:dyDescent="0.3">
      <c r="A104">
        <v>103</v>
      </c>
      <c r="B104" t="s">
        <v>141</v>
      </c>
      <c r="C104" t="s">
        <v>12</v>
      </c>
      <c r="D104">
        <v>2009</v>
      </c>
      <c r="E104" t="s">
        <v>28</v>
      </c>
      <c r="F104" t="s">
        <v>92</v>
      </c>
      <c r="G104">
        <v>3.51</v>
      </c>
      <c r="H104">
        <v>3.03</v>
      </c>
      <c r="I104">
        <v>0</v>
      </c>
      <c r="J104">
        <v>0.73</v>
      </c>
      <c r="K104">
        <v>7.27</v>
      </c>
    </row>
    <row r="105" spans="1:11" x14ac:dyDescent="0.3">
      <c r="A105">
        <v>104</v>
      </c>
      <c r="B105" t="s">
        <v>138</v>
      </c>
      <c r="C105" t="s">
        <v>42</v>
      </c>
      <c r="D105">
        <v>2011</v>
      </c>
      <c r="E105" t="s">
        <v>31</v>
      </c>
      <c r="F105" t="s">
        <v>110</v>
      </c>
      <c r="G105">
        <v>2.85</v>
      </c>
      <c r="H105">
        <v>2.93</v>
      </c>
      <c r="I105">
        <v>0.35</v>
      </c>
      <c r="J105">
        <v>1.1000000000000001</v>
      </c>
      <c r="K105">
        <v>7.23</v>
      </c>
    </row>
    <row r="106" spans="1:11" x14ac:dyDescent="0.3">
      <c r="A106">
        <v>105</v>
      </c>
      <c r="B106" t="s">
        <v>142</v>
      </c>
      <c r="C106" t="s">
        <v>46</v>
      </c>
      <c r="D106">
        <v>2003</v>
      </c>
      <c r="E106" t="s">
        <v>18</v>
      </c>
      <c r="F106" t="s">
        <v>110</v>
      </c>
      <c r="G106">
        <v>3.27</v>
      </c>
      <c r="H106">
        <v>2.83</v>
      </c>
      <c r="I106">
        <v>0.08</v>
      </c>
      <c r="J106">
        <v>1.02</v>
      </c>
      <c r="K106">
        <v>7.2</v>
      </c>
    </row>
    <row r="107" spans="1:11" x14ac:dyDescent="0.3">
      <c r="A107">
        <v>106</v>
      </c>
      <c r="B107" t="s">
        <v>143</v>
      </c>
      <c r="C107" t="s">
        <v>86</v>
      </c>
      <c r="D107">
        <v>1998</v>
      </c>
      <c r="E107" t="s">
        <v>72</v>
      </c>
      <c r="F107" t="s">
        <v>59</v>
      </c>
      <c r="G107">
        <v>3.27</v>
      </c>
      <c r="H107">
        <v>2.2200000000000002</v>
      </c>
      <c r="I107">
        <v>1.4</v>
      </c>
      <c r="J107">
        <v>0.28999999999999998</v>
      </c>
      <c r="K107">
        <v>7.16</v>
      </c>
    </row>
    <row r="108" spans="1:11" x14ac:dyDescent="0.3">
      <c r="A108">
        <v>107</v>
      </c>
      <c r="B108" t="s">
        <v>144</v>
      </c>
      <c r="C108" t="s">
        <v>86</v>
      </c>
      <c r="D108">
        <v>1998</v>
      </c>
      <c r="E108" t="s">
        <v>2</v>
      </c>
      <c r="F108" t="s">
        <v>59</v>
      </c>
      <c r="G108">
        <v>3.68</v>
      </c>
      <c r="H108">
        <v>1.75</v>
      </c>
      <c r="I108">
        <v>1.42</v>
      </c>
      <c r="J108">
        <v>0.28000000000000003</v>
      </c>
      <c r="K108">
        <v>7.13</v>
      </c>
    </row>
    <row r="109" spans="1:11" x14ac:dyDescent="0.3">
      <c r="A109">
        <v>108</v>
      </c>
      <c r="B109" t="s">
        <v>145</v>
      </c>
      <c r="C109" t="s">
        <v>146</v>
      </c>
      <c r="D109">
        <v>2001</v>
      </c>
      <c r="E109" t="s">
        <v>72</v>
      </c>
      <c r="F109" t="s">
        <v>14</v>
      </c>
      <c r="G109">
        <v>4.41</v>
      </c>
      <c r="H109">
        <v>1.04</v>
      </c>
      <c r="I109">
        <v>1.39</v>
      </c>
      <c r="J109">
        <v>0.22</v>
      </c>
      <c r="K109">
        <v>7.07</v>
      </c>
    </row>
    <row r="110" spans="1:11" x14ac:dyDescent="0.3">
      <c r="A110">
        <v>109</v>
      </c>
      <c r="B110" t="s">
        <v>147</v>
      </c>
      <c r="C110" t="s">
        <v>148</v>
      </c>
      <c r="D110">
        <v>2014</v>
      </c>
      <c r="E110" t="s">
        <v>18</v>
      </c>
      <c r="F110" t="s">
        <v>14</v>
      </c>
      <c r="G110">
        <v>3.13</v>
      </c>
      <c r="H110">
        <v>2.0699999999999998</v>
      </c>
      <c r="I110">
        <v>1.27</v>
      </c>
      <c r="J110">
        <v>0.49</v>
      </c>
      <c r="K110">
        <v>6.96</v>
      </c>
    </row>
    <row r="111" spans="1:11" x14ac:dyDescent="0.3">
      <c r="A111">
        <v>110</v>
      </c>
      <c r="B111" t="s">
        <v>149</v>
      </c>
      <c r="C111" t="s">
        <v>67</v>
      </c>
      <c r="D111">
        <v>2015</v>
      </c>
      <c r="E111" t="s">
        <v>22</v>
      </c>
      <c r="F111" t="s">
        <v>107</v>
      </c>
      <c r="G111">
        <v>2.4700000000000002</v>
      </c>
      <c r="H111">
        <v>3.15</v>
      </c>
      <c r="I111">
        <v>0.24</v>
      </c>
      <c r="J111">
        <v>1.1000000000000001</v>
      </c>
      <c r="K111">
        <v>6.96</v>
      </c>
    </row>
    <row r="112" spans="1:11" x14ac:dyDescent="0.3">
      <c r="A112">
        <v>111</v>
      </c>
      <c r="B112" t="s">
        <v>150</v>
      </c>
      <c r="C112" t="s">
        <v>146</v>
      </c>
      <c r="D112">
        <v>2003</v>
      </c>
      <c r="E112" t="s">
        <v>18</v>
      </c>
      <c r="F112" t="s">
        <v>14</v>
      </c>
      <c r="G112">
        <v>4.12</v>
      </c>
      <c r="H112">
        <v>1.77</v>
      </c>
      <c r="I112">
        <v>0.87</v>
      </c>
      <c r="J112">
        <v>0.19</v>
      </c>
      <c r="K112">
        <v>6.95</v>
      </c>
    </row>
    <row r="113" spans="1:11" x14ac:dyDescent="0.3">
      <c r="A113">
        <v>112</v>
      </c>
      <c r="B113" t="s">
        <v>151</v>
      </c>
      <c r="C113" t="s">
        <v>12</v>
      </c>
      <c r="D113">
        <v>2012</v>
      </c>
      <c r="E113" t="s">
        <v>28</v>
      </c>
      <c r="F113" t="s">
        <v>92</v>
      </c>
      <c r="G113">
        <v>4.1399999999999997</v>
      </c>
      <c r="H113">
        <v>2.21</v>
      </c>
      <c r="I113">
        <v>0</v>
      </c>
      <c r="J113">
        <v>0.56000000000000005</v>
      </c>
      <c r="K113">
        <v>6.91</v>
      </c>
    </row>
    <row r="114" spans="1:11" x14ac:dyDescent="0.3">
      <c r="A114">
        <v>113</v>
      </c>
      <c r="B114" t="s">
        <v>152</v>
      </c>
      <c r="C114" t="s">
        <v>42</v>
      </c>
      <c r="D114">
        <v>2013</v>
      </c>
      <c r="E114" t="s">
        <v>13</v>
      </c>
      <c r="F114" t="s">
        <v>110</v>
      </c>
      <c r="G114">
        <v>0.78</v>
      </c>
      <c r="H114">
        <v>4.32</v>
      </c>
      <c r="I114">
        <v>7.0000000000000007E-2</v>
      </c>
      <c r="J114">
        <v>1.73</v>
      </c>
      <c r="K114">
        <v>6.9</v>
      </c>
    </row>
    <row r="115" spans="1:11" x14ac:dyDescent="0.3">
      <c r="A115">
        <v>114</v>
      </c>
      <c r="B115" t="s">
        <v>153</v>
      </c>
      <c r="C115" t="s">
        <v>46</v>
      </c>
      <c r="D115">
        <v>2004</v>
      </c>
      <c r="E115" t="s">
        <v>18</v>
      </c>
      <c r="F115" t="s">
        <v>110</v>
      </c>
      <c r="G115">
        <v>2.71</v>
      </c>
      <c r="H115">
        <v>3.02</v>
      </c>
      <c r="I115">
        <v>0.08</v>
      </c>
      <c r="J115">
        <v>1.0900000000000001</v>
      </c>
      <c r="K115">
        <v>6.9</v>
      </c>
    </row>
    <row r="116" spans="1:11" x14ac:dyDescent="0.3">
      <c r="A116">
        <v>115</v>
      </c>
      <c r="B116" t="s">
        <v>154</v>
      </c>
      <c r="C116" t="s">
        <v>46</v>
      </c>
      <c r="D116">
        <v>2002</v>
      </c>
      <c r="E116" t="s">
        <v>31</v>
      </c>
      <c r="F116" t="s">
        <v>110</v>
      </c>
      <c r="G116">
        <v>2.93</v>
      </c>
      <c r="H116">
        <v>2.75</v>
      </c>
      <c r="I116">
        <v>0.17</v>
      </c>
      <c r="J116">
        <v>0.99</v>
      </c>
      <c r="K116">
        <v>6.83</v>
      </c>
    </row>
    <row r="117" spans="1:11" x14ac:dyDescent="0.3">
      <c r="A117">
        <v>116</v>
      </c>
      <c r="B117" t="s">
        <v>155</v>
      </c>
      <c r="C117" t="s">
        <v>42</v>
      </c>
      <c r="D117">
        <v>2011</v>
      </c>
      <c r="E117" t="s">
        <v>43</v>
      </c>
      <c r="F117" t="s">
        <v>59</v>
      </c>
      <c r="G117">
        <v>2.77</v>
      </c>
      <c r="H117">
        <v>2.8</v>
      </c>
      <c r="I117">
        <v>0.19</v>
      </c>
      <c r="J117">
        <v>1.06</v>
      </c>
      <c r="K117">
        <v>6.83</v>
      </c>
    </row>
    <row r="118" spans="1:11" x14ac:dyDescent="0.3">
      <c r="A118">
        <v>117</v>
      </c>
      <c r="B118" t="s">
        <v>156</v>
      </c>
      <c r="C118" t="s">
        <v>86</v>
      </c>
      <c r="D118">
        <v>1996</v>
      </c>
      <c r="E118" t="s">
        <v>2</v>
      </c>
      <c r="F118" t="s">
        <v>59</v>
      </c>
      <c r="G118">
        <v>3.23</v>
      </c>
      <c r="H118">
        <v>2.35</v>
      </c>
      <c r="I118">
        <v>0.94</v>
      </c>
      <c r="J118">
        <v>0.3</v>
      </c>
      <c r="K118">
        <v>6.82</v>
      </c>
    </row>
    <row r="119" spans="1:11" x14ac:dyDescent="0.3">
      <c r="A119">
        <v>118</v>
      </c>
      <c r="B119" t="s">
        <v>157</v>
      </c>
      <c r="C119" t="s">
        <v>12</v>
      </c>
      <c r="D119">
        <v>2010</v>
      </c>
      <c r="E119" t="s">
        <v>13</v>
      </c>
      <c r="F119" t="s">
        <v>158</v>
      </c>
      <c r="G119">
        <v>3.5</v>
      </c>
      <c r="H119">
        <v>2.64</v>
      </c>
      <c r="I119">
        <v>0</v>
      </c>
      <c r="J119">
        <v>0.67</v>
      </c>
      <c r="K119">
        <v>6.81</v>
      </c>
    </row>
    <row r="120" spans="1:11" x14ac:dyDescent="0.3">
      <c r="A120">
        <v>119</v>
      </c>
      <c r="B120" t="s">
        <v>159</v>
      </c>
      <c r="C120" t="s">
        <v>39</v>
      </c>
      <c r="D120">
        <v>2008</v>
      </c>
      <c r="E120" t="s">
        <v>31</v>
      </c>
      <c r="F120" t="s">
        <v>40</v>
      </c>
      <c r="G120">
        <v>4.1500000000000004</v>
      </c>
      <c r="H120">
        <v>1.92</v>
      </c>
      <c r="I120">
        <v>0.06</v>
      </c>
      <c r="J120">
        <v>0.64</v>
      </c>
      <c r="K120">
        <v>6.76</v>
      </c>
    </row>
    <row r="121" spans="1:11" x14ac:dyDescent="0.3">
      <c r="A121">
        <v>120</v>
      </c>
      <c r="B121" t="s">
        <v>160</v>
      </c>
      <c r="C121" t="s">
        <v>42</v>
      </c>
      <c r="D121">
        <v>2009</v>
      </c>
      <c r="E121" t="s">
        <v>43</v>
      </c>
      <c r="F121" t="s">
        <v>59</v>
      </c>
      <c r="G121">
        <v>3.27</v>
      </c>
      <c r="H121">
        <v>2.25</v>
      </c>
      <c r="I121">
        <v>0.21</v>
      </c>
      <c r="J121">
        <v>1</v>
      </c>
      <c r="K121">
        <v>6.73</v>
      </c>
    </row>
    <row r="122" spans="1:11" x14ac:dyDescent="0.3">
      <c r="A122">
        <v>121</v>
      </c>
      <c r="B122" t="s">
        <v>101</v>
      </c>
      <c r="C122" t="s">
        <v>42</v>
      </c>
      <c r="D122">
        <v>2007</v>
      </c>
      <c r="E122" t="s">
        <v>31</v>
      </c>
      <c r="F122" t="s">
        <v>61</v>
      </c>
      <c r="G122">
        <v>3.1</v>
      </c>
      <c r="H122">
        <v>2.2999999999999998</v>
      </c>
      <c r="I122">
        <v>0.28000000000000003</v>
      </c>
      <c r="J122">
        <v>1.04</v>
      </c>
      <c r="K122">
        <v>6.72</v>
      </c>
    </row>
    <row r="123" spans="1:11" x14ac:dyDescent="0.3">
      <c r="A123">
        <v>122</v>
      </c>
      <c r="B123" t="s">
        <v>161</v>
      </c>
      <c r="C123" t="s">
        <v>42</v>
      </c>
      <c r="D123">
        <v>2011</v>
      </c>
      <c r="E123" t="s">
        <v>13</v>
      </c>
      <c r="F123" t="s">
        <v>110</v>
      </c>
      <c r="G123">
        <v>0.84</v>
      </c>
      <c r="H123">
        <v>4.32</v>
      </c>
      <c r="I123">
        <v>0.11</v>
      </c>
      <c r="J123">
        <v>1.42</v>
      </c>
      <c r="K123">
        <v>6.69</v>
      </c>
    </row>
    <row r="124" spans="1:11" x14ac:dyDescent="0.3">
      <c r="A124">
        <v>123</v>
      </c>
      <c r="B124" t="s">
        <v>162</v>
      </c>
      <c r="C124" t="s">
        <v>26</v>
      </c>
      <c r="D124">
        <v>2005</v>
      </c>
      <c r="E124" t="s">
        <v>28</v>
      </c>
      <c r="F124" t="s">
        <v>14</v>
      </c>
      <c r="G124">
        <v>1.67</v>
      </c>
      <c r="H124">
        <v>2.78</v>
      </c>
      <c r="I124">
        <v>1.6</v>
      </c>
      <c r="J124">
        <v>0.62</v>
      </c>
      <c r="K124">
        <v>6.67</v>
      </c>
    </row>
    <row r="125" spans="1:11" x14ac:dyDescent="0.3">
      <c r="A125">
        <v>124</v>
      </c>
      <c r="B125" t="s">
        <v>163</v>
      </c>
      <c r="C125" t="s">
        <v>42</v>
      </c>
      <c r="D125">
        <v>2010</v>
      </c>
      <c r="E125" t="s">
        <v>43</v>
      </c>
      <c r="F125" t="s">
        <v>44</v>
      </c>
      <c r="G125">
        <v>2.79</v>
      </c>
      <c r="H125">
        <v>2.61</v>
      </c>
      <c r="I125">
        <v>0.17</v>
      </c>
      <c r="J125">
        <v>1.03</v>
      </c>
      <c r="K125">
        <v>6.6</v>
      </c>
    </row>
    <row r="126" spans="1:11" x14ac:dyDescent="0.3">
      <c r="A126">
        <v>125</v>
      </c>
      <c r="B126" t="s">
        <v>164</v>
      </c>
      <c r="C126" t="s">
        <v>67</v>
      </c>
      <c r="D126">
        <v>2014</v>
      </c>
      <c r="E126" t="s">
        <v>13</v>
      </c>
      <c r="F126" t="s">
        <v>110</v>
      </c>
      <c r="G126">
        <v>0.79</v>
      </c>
      <c r="H126">
        <v>4.29</v>
      </c>
      <c r="I126">
        <v>0.05</v>
      </c>
      <c r="J126">
        <v>1.47</v>
      </c>
      <c r="K126">
        <v>6.59</v>
      </c>
    </row>
    <row r="127" spans="1:11" x14ac:dyDescent="0.3">
      <c r="A127">
        <v>126</v>
      </c>
      <c r="B127" t="s">
        <v>165</v>
      </c>
      <c r="C127" t="s">
        <v>12</v>
      </c>
      <c r="D127">
        <v>2010</v>
      </c>
      <c r="E127" t="s">
        <v>2</v>
      </c>
      <c r="F127" t="s">
        <v>14</v>
      </c>
      <c r="G127">
        <v>3.25</v>
      </c>
      <c r="H127">
        <v>1.84</v>
      </c>
      <c r="I127">
        <v>1.03</v>
      </c>
      <c r="J127">
        <v>0.47</v>
      </c>
      <c r="K127">
        <v>6.59</v>
      </c>
    </row>
    <row r="128" spans="1:11" x14ac:dyDescent="0.3">
      <c r="A128">
        <v>127</v>
      </c>
      <c r="B128" t="s">
        <v>106</v>
      </c>
      <c r="C128" t="s">
        <v>42</v>
      </c>
      <c r="D128">
        <v>2011</v>
      </c>
      <c r="E128" t="s">
        <v>22</v>
      </c>
      <c r="F128" t="s">
        <v>107</v>
      </c>
      <c r="G128">
        <v>2.5499999999999998</v>
      </c>
      <c r="H128">
        <v>2.71</v>
      </c>
      <c r="I128">
        <v>0.25</v>
      </c>
      <c r="J128">
        <v>1.05</v>
      </c>
      <c r="K128">
        <v>6.56</v>
      </c>
    </row>
    <row r="129" spans="1:11" x14ac:dyDescent="0.3">
      <c r="A129">
        <v>128</v>
      </c>
      <c r="B129" t="s">
        <v>166</v>
      </c>
      <c r="C129" t="s">
        <v>16</v>
      </c>
      <c r="D129">
        <v>1986</v>
      </c>
      <c r="E129" t="s">
        <v>43</v>
      </c>
      <c r="F129" t="s">
        <v>14</v>
      </c>
      <c r="G129">
        <v>3.74</v>
      </c>
      <c r="H129">
        <v>0.93</v>
      </c>
      <c r="I129">
        <v>1.69</v>
      </c>
      <c r="J129">
        <v>0.14000000000000001</v>
      </c>
      <c r="K129">
        <v>6.51</v>
      </c>
    </row>
    <row r="130" spans="1:11" x14ac:dyDescent="0.3">
      <c r="A130">
        <v>129</v>
      </c>
      <c r="B130" t="s">
        <v>167</v>
      </c>
      <c r="C130" t="s">
        <v>42</v>
      </c>
      <c r="D130">
        <v>2012</v>
      </c>
      <c r="E130" t="s">
        <v>43</v>
      </c>
      <c r="F130" t="s">
        <v>92</v>
      </c>
      <c r="G130">
        <v>2.64</v>
      </c>
      <c r="H130">
        <v>2.56</v>
      </c>
      <c r="I130">
        <v>0.16</v>
      </c>
      <c r="J130">
        <v>1.1399999999999999</v>
      </c>
      <c r="K130">
        <v>6.5</v>
      </c>
    </row>
    <row r="131" spans="1:11" x14ac:dyDescent="0.3">
      <c r="A131">
        <v>130</v>
      </c>
      <c r="B131" t="s">
        <v>168</v>
      </c>
      <c r="C131" t="s">
        <v>113</v>
      </c>
      <c r="D131">
        <v>2001</v>
      </c>
      <c r="E131" t="s">
        <v>31</v>
      </c>
      <c r="F131" t="s">
        <v>40</v>
      </c>
      <c r="G131">
        <v>4.9800000000000004</v>
      </c>
      <c r="H131">
        <v>1.3</v>
      </c>
      <c r="I131">
        <v>0.08</v>
      </c>
      <c r="J131">
        <v>7.0000000000000007E-2</v>
      </c>
      <c r="K131">
        <v>6.43</v>
      </c>
    </row>
    <row r="132" spans="1:11" x14ac:dyDescent="0.3">
      <c r="A132">
        <v>131</v>
      </c>
      <c r="B132" t="s">
        <v>169</v>
      </c>
      <c r="C132" t="s">
        <v>55</v>
      </c>
      <c r="D132">
        <v>2004</v>
      </c>
      <c r="E132" t="s">
        <v>22</v>
      </c>
      <c r="F132" t="s">
        <v>14</v>
      </c>
      <c r="G132">
        <v>2.57</v>
      </c>
      <c r="H132">
        <v>1.58</v>
      </c>
      <c r="I132">
        <v>2.06</v>
      </c>
      <c r="J132">
        <v>0.21</v>
      </c>
      <c r="K132">
        <v>6.41</v>
      </c>
    </row>
    <row r="133" spans="1:11" x14ac:dyDescent="0.3">
      <c r="A133">
        <v>132</v>
      </c>
      <c r="B133" t="s">
        <v>170</v>
      </c>
      <c r="C133" t="s">
        <v>46</v>
      </c>
      <c r="D133">
        <v>2002</v>
      </c>
      <c r="E133" t="s">
        <v>22</v>
      </c>
      <c r="F133" t="s">
        <v>59</v>
      </c>
      <c r="G133">
        <v>3.64</v>
      </c>
      <c r="H133">
        <v>1.2</v>
      </c>
      <c r="I133">
        <v>1.49</v>
      </c>
      <c r="J133">
        <v>7.0000000000000007E-2</v>
      </c>
      <c r="K133">
        <v>6.4</v>
      </c>
    </row>
    <row r="134" spans="1:11" x14ac:dyDescent="0.3">
      <c r="A134">
        <v>133</v>
      </c>
      <c r="B134" t="s">
        <v>171</v>
      </c>
      <c r="C134" t="s">
        <v>21</v>
      </c>
      <c r="D134">
        <v>2000</v>
      </c>
      <c r="E134" t="s">
        <v>22</v>
      </c>
      <c r="F134" t="s">
        <v>14</v>
      </c>
      <c r="G134">
        <v>2.5499999999999998</v>
      </c>
      <c r="H134">
        <v>1.56</v>
      </c>
      <c r="I134">
        <v>1.29</v>
      </c>
      <c r="J134">
        <v>0.99</v>
      </c>
      <c r="K134">
        <v>6.39</v>
      </c>
    </row>
    <row r="135" spans="1:11" x14ac:dyDescent="0.3">
      <c r="A135">
        <v>134</v>
      </c>
      <c r="B135" t="s">
        <v>172</v>
      </c>
      <c r="C135" t="s">
        <v>39</v>
      </c>
      <c r="D135">
        <v>2009</v>
      </c>
      <c r="E135" t="s">
        <v>31</v>
      </c>
      <c r="F135" t="s">
        <v>40</v>
      </c>
      <c r="G135">
        <v>4.34</v>
      </c>
      <c r="H135">
        <v>1.35</v>
      </c>
      <c r="I135">
        <v>0.06</v>
      </c>
      <c r="J135">
        <v>0.61</v>
      </c>
      <c r="K135">
        <v>6.36</v>
      </c>
    </row>
    <row r="136" spans="1:11" x14ac:dyDescent="0.3">
      <c r="A136">
        <v>135</v>
      </c>
      <c r="B136" t="s">
        <v>163</v>
      </c>
      <c r="C136" t="s">
        <v>39</v>
      </c>
      <c r="D136">
        <v>2010</v>
      </c>
      <c r="E136" t="s">
        <v>43</v>
      </c>
      <c r="F136" t="s">
        <v>44</v>
      </c>
      <c r="G136">
        <v>3.7</v>
      </c>
      <c r="H136">
        <v>1.97</v>
      </c>
      <c r="I136">
        <v>0.09</v>
      </c>
      <c r="J136">
        <v>0.56999999999999995</v>
      </c>
      <c r="K136">
        <v>6.34</v>
      </c>
    </row>
    <row r="137" spans="1:11" x14ac:dyDescent="0.3">
      <c r="A137">
        <v>136</v>
      </c>
      <c r="B137" t="s">
        <v>173</v>
      </c>
      <c r="C137" t="s">
        <v>146</v>
      </c>
      <c r="D137">
        <v>2002</v>
      </c>
      <c r="E137" t="s">
        <v>2</v>
      </c>
      <c r="F137" t="s">
        <v>14</v>
      </c>
      <c r="G137">
        <v>4.01</v>
      </c>
      <c r="H137">
        <v>1.26</v>
      </c>
      <c r="I137">
        <v>0.87</v>
      </c>
      <c r="J137">
        <v>0.17</v>
      </c>
      <c r="K137">
        <v>6.31</v>
      </c>
    </row>
    <row r="138" spans="1:11" x14ac:dyDescent="0.3">
      <c r="A138">
        <v>137</v>
      </c>
      <c r="B138" t="s">
        <v>174</v>
      </c>
      <c r="C138" t="s">
        <v>48</v>
      </c>
      <c r="D138">
        <v>1992</v>
      </c>
      <c r="E138" t="s">
        <v>72</v>
      </c>
      <c r="F138" t="s">
        <v>175</v>
      </c>
      <c r="G138">
        <v>2.4700000000000002</v>
      </c>
      <c r="H138">
        <v>0.83</v>
      </c>
      <c r="I138">
        <v>2.87</v>
      </c>
      <c r="J138">
        <v>0.12</v>
      </c>
      <c r="K138">
        <v>6.3</v>
      </c>
    </row>
    <row r="139" spans="1:11" x14ac:dyDescent="0.3">
      <c r="A139">
        <v>138</v>
      </c>
      <c r="B139" t="s">
        <v>176</v>
      </c>
      <c r="C139" t="s">
        <v>118</v>
      </c>
      <c r="D139">
        <v>2004</v>
      </c>
      <c r="E139" t="s">
        <v>22</v>
      </c>
      <c r="F139" t="s">
        <v>61</v>
      </c>
      <c r="G139">
        <v>7.0000000000000007E-2</v>
      </c>
      <c r="H139">
        <v>6.21</v>
      </c>
      <c r="I139">
        <v>0</v>
      </c>
      <c r="J139">
        <v>0</v>
      </c>
      <c r="K139">
        <v>6.28</v>
      </c>
    </row>
    <row r="140" spans="1:11" x14ac:dyDescent="0.3">
      <c r="A140">
        <v>139</v>
      </c>
      <c r="B140" t="s">
        <v>177</v>
      </c>
      <c r="C140" t="s">
        <v>86</v>
      </c>
      <c r="D140">
        <v>1999</v>
      </c>
      <c r="E140" t="s">
        <v>43</v>
      </c>
      <c r="F140" t="s">
        <v>178</v>
      </c>
      <c r="G140">
        <v>3.11</v>
      </c>
      <c r="H140">
        <v>2.8</v>
      </c>
      <c r="I140">
        <v>0.02</v>
      </c>
      <c r="J140">
        <v>0.33</v>
      </c>
      <c r="K140">
        <v>6.27</v>
      </c>
    </row>
    <row r="141" spans="1:11" x14ac:dyDescent="0.3">
      <c r="A141">
        <v>140</v>
      </c>
      <c r="B141" t="s">
        <v>179</v>
      </c>
      <c r="C141" t="s">
        <v>39</v>
      </c>
      <c r="D141">
        <v>2010</v>
      </c>
      <c r="E141" t="s">
        <v>13</v>
      </c>
      <c r="F141" t="s">
        <v>40</v>
      </c>
      <c r="G141">
        <v>3.92</v>
      </c>
      <c r="H141">
        <v>1.78</v>
      </c>
      <c r="I141">
        <v>0.03</v>
      </c>
      <c r="J141">
        <v>0.51</v>
      </c>
      <c r="K141">
        <v>6.24</v>
      </c>
    </row>
    <row r="142" spans="1:11" x14ac:dyDescent="0.3">
      <c r="A142">
        <v>141</v>
      </c>
      <c r="B142" t="s">
        <v>180</v>
      </c>
      <c r="C142" t="s">
        <v>39</v>
      </c>
      <c r="D142">
        <v>2011</v>
      </c>
      <c r="E142" t="s">
        <v>31</v>
      </c>
      <c r="F142" t="s">
        <v>40</v>
      </c>
      <c r="G142">
        <v>4.05</v>
      </c>
      <c r="H142">
        <v>1.62</v>
      </c>
      <c r="I142">
        <v>7.0000000000000007E-2</v>
      </c>
      <c r="J142">
        <v>0.49</v>
      </c>
      <c r="K142">
        <v>6.24</v>
      </c>
    </row>
    <row r="143" spans="1:11" x14ac:dyDescent="0.3">
      <c r="A143">
        <v>142</v>
      </c>
      <c r="B143" t="s">
        <v>181</v>
      </c>
      <c r="C143" t="s">
        <v>39</v>
      </c>
      <c r="D143">
        <v>2006</v>
      </c>
      <c r="E143" t="s">
        <v>31</v>
      </c>
      <c r="F143" t="s">
        <v>40</v>
      </c>
      <c r="G143">
        <v>3.54</v>
      </c>
      <c r="H143">
        <v>1.9</v>
      </c>
      <c r="I143">
        <v>7.0000000000000007E-2</v>
      </c>
      <c r="J143">
        <v>0.6</v>
      </c>
      <c r="K143">
        <v>6.11</v>
      </c>
    </row>
    <row r="144" spans="1:11" x14ac:dyDescent="0.3">
      <c r="A144">
        <v>143</v>
      </c>
      <c r="B144" t="s">
        <v>182</v>
      </c>
      <c r="C144" t="s">
        <v>46</v>
      </c>
      <c r="D144">
        <v>2001</v>
      </c>
      <c r="E144" t="s">
        <v>43</v>
      </c>
      <c r="F144" t="s">
        <v>183</v>
      </c>
      <c r="G144">
        <v>2.4500000000000002</v>
      </c>
      <c r="H144">
        <v>2.0099999999999998</v>
      </c>
      <c r="I144">
        <v>0.87</v>
      </c>
      <c r="J144">
        <v>0.72</v>
      </c>
      <c r="K144">
        <v>6.05</v>
      </c>
    </row>
    <row r="145" spans="1:11" x14ac:dyDescent="0.3">
      <c r="A145">
        <v>144</v>
      </c>
      <c r="B145" t="s">
        <v>184</v>
      </c>
      <c r="C145" t="s">
        <v>185</v>
      </c>
      <c r="D145">
        <v>1992</v>
      </c>
      <c r="E145" t="s">
        <v>2</v>
      </c>
      <c r="F145" t="s">
        <v>121</v>
      </c>
      <c r="G145">
        <v>4.47</v>
      </c>
      <c r="H145">
        <v>1.2</v>
      </c>
      <c r="I145">
        <v>0.16</v>
      </c>
      <c r="J145">
        <v>0.19</v>
      </c>
      <c r="K145">
        <v>6.03</v>
      </c>
    </row>
    <row r="146" spans="1:11" x14ac:dyDescent="0.3">
      <c r="A146">
        <v>145</v>
      </c>
      <c r="B146" t="s">
        <v>186</v>
      </c>
      <c r="C146" t="s">
        <v>42</v>
      </c>
      <c r="D146">
        <v>2008</v>
      </c>
      <c r="E146" t="s">
        <v>43</v>
      </c>
      <c r="F146" t="s">
        <v>183</v>
      </c>
      <c r="G146">
        <v>2.63</v>
      </c>
      <c r="H146">
        <v>1.74</v>
      </c>
      <c r="I146">
        <v>0.83</v>
      </c>
      <c r="J146">
        <v>0.83</v>
      </c>
      <c r="K146">
        <v>6.03</v>
      </c>
    </row>
    <row r="147" spans="1:11" x14ac:dyDescent="0.3">
      <c r="A147">
        <v>146</v>
      </c>
      <c r="B147" t="s">
        <v>187</v>
      </c>
      <c r="C147" t="s">
        <v>86</v>
      </c>
      <c r="D147">
        <v>1998</v>
      </c>
      <c r="E147" t="s">
        <v>43</v>
      </c>
      <c r="F147" t="s">
        <v>183</v>
      </c>
      <c r="G147">
        <v>3.18</v>
      </c>
      <c r="H147">
        <v>1.83</v>
      </c>
      <c r="I147">
        <v>0.78</v>
      </c>
      <c r="J147">
        <v>0.24</v>
      </c>
      <c r="K147">
        <v>6.03</v>
      </c>
    </row>
    <row r="148" spans="1:11" x14ac:dyDescent="0.3">
      <c r="A148">
        <v>147</v>
      </c>
      <c r="B148" t="s">
        <v>188</v>
      </c>
      <c r="C148" t="s">
        <v>42</v>
      </c>
      <c r="D148">
        <v>2013</v>
      </c>
      <c r="E148" t="s">
        <v>43</v>
      </c>
      <c r="F148" t="s">
        <v>189</v>
      </c>
      <c r="G148">
        <v>2.41</v>
      </c>
      <c r="H148">
        <v>2.2799999999999998</v>
      </c>
      <c r="I148">
        <v>0.28000000000000003</v>
      </c>
      <c r="J148">
        <v>1.01</v>
      </c>
      <c r="K148">
        <v>5.99</v>
      </c>
    </row>
    <row r="149" spans="1:11" x14ac:dyDescent="0.3">
      <c r="A149">
        <v>148</v>
      </c>
      <c r="B149" t="s">
        <v>190</v>
      </c>
      <c r="C149" t="s">
        <v>46</v>
      </c>
      <c r="D149">
        <v>2006</v>
      </c>
      <c r="E149" t="s">
        <v>22</v>
      </c>
      <c r="F149" t="s">
        <v>191</v>
      </c>
      <c r="G149">
        <v>1.88</v>
      </c>
      <c r="H149">
        <v>0</v>
      </c>
      <c r="I149">
        <v>2.33</v>
      </c>
      <c r="J149">
        <v>1.74</v>
      </c>
      <c r="K149">
        <v>5.95</v>
      </c>
    </row>
    <row r="150" spans="1:11" x14ac:dyDescent="0.3">
      <c r="A150">
        <v>149</v>
      </c>
      <c r="B150" t="s">
        <v>192</v>
      </c>
      <c r="C150" t="s">
        <v>42</v>
      </c>
      <c r="D150">
        <v>2008</v>
      </c>
      <c r="E150" t="s">
        <v>2</v>
      </c>
      <c r="F150" t="s">
        <v>59</v>
      </c>
      <c r="G150">
        <v>2.8</v>
      </c>
      <c r="H150">
        <v>2.0499999999999998</v>
      </c>
      <c r="I150">
        <v>0.17</v>
      </c>
      <c r="J150">
        <v>0.9</v>
      </c>
      <c r="K150">
        <v>5.92</v>
      </c>
    </row>
    <row r="151" spans="1:11" x14ac:dyDescent="0.3">
      <c r="A151">
        <v>150</v>
      </c>
      <c r="B151" t="s">
        <v>193</v>
      </c>
      <c r="C151" t="s">
        <v>26</v>
      </c>
      <c r="D151">
        <v>2009</v>
      </c>
      <c r="E151" t="s">
        <v>22</v>
      </c>
      <c r="F151" t="s">
        <v>14</v>
      </c>
      <c r="G151">
        <v>0.66</v>
      </c>
      <c r="H151">
        <v>0.69</v>
      </c>
      <c r="I151">
        <v>4.3499999999999996</v>
      </c>
      <c r="J151">
        <v>0.15</v>
      </c>
      <c r="K151">
        <v>5.84</v>
      </c>
    </row>
    <row r="152" spans="1:11" x14ac:dyDescent="0.3">
      <c r="A152">
        <v>151</v>
      </c>
      <c r="B152" t="s">
        <v>194</v>
      </c>
      <c r="C152" t="s">
        <v>12</v>
      </c>
      <c r="D152">
        <v>2007</v>
      </c>
      <c r="E152" t="s">
        <v>43</v>
      </c>
      <c r="F152" t="s">
        <v>195</v>
      </c>
      <c r="G152">
        <v>3.66</v>
      </c>
      <c r="H152">
        <v>1.63</v>
      </c>
      <c r="I152">
        <v>0</v>
      </c>
      <c r="J152">
        <v>0.53</v>
      </c>
      <c r="K152">
        <v>5.83</v>
      </c>
    </row>
    <row r="153" spans="1:11" x14ac:dyDescent="0.3">
      <c r="A153">
        <v>152</v>
      </c>
      <c r="B153" t="s">
        <v>196</v>
      </c>
      <c r="C153" t="s">
        <v>86</v>
      </c>
      <c r="D153">
        <v>1998</v>
      </c>
      <c r="E153" t="s">
        <v>43</v>
      </c>
      <c r="F153" t="s">
        <v>197</v>
      </c>
      <c r="G153">
        <v>1.88</v>
      </c>
      <c r="H153">
        <v>1.47</v>
      </c>
      <c r="I153">
        <v>2.02</v>
      </c>
      <c r="J153">
        <v>0.45</v>
      </c>
      <c r="K153">
        <v>5.82</v>
      </c>
    </row>
    <row r="154" spans="1:11" x14ac:dyDescent="0.3">
      <c r="A154">
        <v>153</v>
      </c>
      <c r="B154" t="s">
        <v>198</v>
      </c>
      <c r="C154" t="s">
        <v>86</v>
      </c>
      <c r="D154">
        <v>1996</v>
      </c>
      <c r="E154" t="s">
        <v>72</v>
      </c>
      <c r="F154" t="s">
        <v>59</v>
      </c>
      <c r="G154">
        <v>2.2599999999999998</v>
      </c>
      <c r="H154">
        <v>1.89</v>
      </c>
      <c r="I154">
        <v>1.36</v>
      </c>
      <c r="J154">
        <v>0.23</v>
      </c>
      <c r="K154">
        <v>5.74</v>
      </c>
    </row>
    <row r="155" spans="1:11" x14ac:dyDescent="0.3">
      <c r="A155">
        <v>154</v>
      </c>
      <c r="B155" t="s">
        <v>199</v>
      </c>
      <c r="C155" t="s">
        <v>26</v>
      </c>
      <c r="D155">
        <v>2006</v>
      </c>
      <c r="E155" t="s">
        <v>33</v>
      </c>
      <c r="F155" t="s">
        <v>158</v>
      </c>
      <c r="G155">
        <v>3.13</v>
      </c>
      <c r="H155">
        <v>1.94</v>
      </c>
      <c r="I155">
        <v>7.0000000000000007E-2</v>
      </c>
      <c r="J155">
        <v>0.57999999999999996</v>
      </c>
      <c r="K155">
        <v>5.72</v>
      </c>
    </row>
    <row r="156" spans="1:11" x14ac:dyDescent="0.3">
      <c r="A156">
        <v>155</v>
      </c>
      <c r="B156" t="s">
        <v>200</v>
      </c>
      <c r="C156" t="s">
        <v>67</v>
      </c>
      <c r="D156">
        <v>2014</v>
      </c>
      <c r="E156" t="s">
        <v>31</v>
      </c>
      <c r="F156" t="s">
        <v>61</v>
      </c>
      <c r="G156">
        <v>2.4900000000000002</v>
      </c>
      <c r="H156">
        <v>2.0499999999999998</v>
      </c>
      <c r="I156">
        <v>0.16</v>
      </c>
      <c r="J156">
        <v>0.96</v>
      </c>
      <c r="K156">
        <v>5.65</v>
      </c>
    </row>
    <row r="157" spans="1:11" x14ac:dyDescent="0.3">
      <c r="A157">
        <v>156</v>
      </c>
      <c r="B157" t="s">
        <v>23</v>
      </c>
      <c r="C157" t="s">
        <v>16</v>
      </c>
      <c r="D157">
        <v>1988</v>
      </c>
      <c r="E157" t="s">
        <v>24</v>
      </c>
      <c r="F157" t="s">
        <v>14</v>
      </c>
      <c r="G157">
        <v>2.97</v>
      </c>
      <c r="H157">
        <v>0.69</v>
      </c>
      <c r="I157">
        <v>1.81</v>
      </c>
      <c r="J157">
        <v>0.11</v>
      </c>
      <c r="K157">
        <v>5.58</v>
      </c>
    </row>
    <row r="158" spans="1:11" x14ac:dyDescent="0.3">
      <c r="A158">
        <v>157</v>
      </c>
      <c r="B158" t="s">
        <v>201</v>
      </c>
      <c r="C158" t="s">
        <v>42</v>
      </c>
      <c r="D158">
        <v>2009</v>
      </c>
      <c r="E158" t="s">
        <v>43</v>
      </c>
      <c r="F158" t="s">
        <v>92</v>
      </c>
      <c r="G158">
        <v>2.54</v>
      </c>
      <c r="H158">
        <v>1.95</v>
      </c>
      <c r="I158">
        <v>0.21</v>
      </c>
      <c r="J158">
        <v>0.87</v>
      </c>
      <c r="K158">
        <v>5.57</v>
      </c>
    </row>
    <row r="159" spans="1:11" x14ac:dyDescent="0.3">
      <c r="A159">
        <v>158</v>
      </c>
      <c r="B159" t="s">
        <v>202</v>
      </c>
      <c r="C159" t="s">
        <v>78</v>
      </c>
      <c r="D159">
        <v>1999</v>
      </c>
      <c r="E159" t="s">
        <v>72</v>
      </c>
      <c r="F159" t="s">
        <v>14</v>
      </c>
      <c r="G159">
        <v>2.95</v>
      </c>
      <c r="H159">
        <v>0.6</v>
      </c>
      <c r="I159">
        <v>1.97</v>
      </c>
      <c r="J159">
        <v>0.04</v>
      </c>
      <c r="K159">
        <v>5.55</v>
      </c>
    </row>
    <row r="160" spans="1:11" x14ac:dyDescent="0.3">
      <c r="A160">
        <v>159</v>
      </c>
      <c r="B160" t="s">
        <v>203</v>
      </c>
      <c r="C160" t="s">
        <v>39</v>
      </c>
      <c r="D160">
        <v>2007</v>
      </c>
      <c r="E160" t="s">
        <v>83</v>
      </c>
      <c r="F160" t="s">
        <v>92</v>
      </c>
      <c r="G160">
        <v>3.28</v>
      </c>
      <c r="H160">
        <v>1.65</v>
      </c>
      <c r="I160">
        <v>7.0000000000000007E-2</v>
      </c>
      <c r="J160">
        <v>0.55000000000000004</v>
      </c>
      <c r="K160">
        <v>5.55</v>
      </c>
    </row>
    <row r="161" spans="1:11" x14ac:dyDescent="0.3">
      <c r="A161">
        <v>160</v>
      </c>
      <c r="B161" t="s">
        <v>204</v>
      </c>
      <c r="C161" t="s">
        <v>42</v>
      </c>
      <c r="D161">
        <v>2011</v>
      </c>
      <c r="E161" t="s">
        <v>43</v>
      </c>
      <c r="F161" t="s">
        <v>205</v>
      </c>
      <c r="G161">
        <v>2.7</v>
      </c>
      <c r="H161">
        <v>1.91</v>
      </c>
      <c r="I161">
        <v>0.11</v>
      </c>
      <c r="J161">
        <v>0.8</v>
      </c>
      <c r="K161">
        <v>5.53</v>
      </c>
    </row>
    <row r="162" spans="1:11" x14ac:dyDescent="0.3">
      <c r="A162">
        <v>161</v>
      </c>
      <c r="B162" t="s">
        <v>206</v>
      </c>
      <c r="C162" t="s">
        <v>39</v>
      </c>
      <c r="D162">
        <v>2009</v>
      </c>
      <c r="E162" t="s">
        <v>18</v>
      </c>
      <c r="F162" t="s">
        <v>40</v>
      </c>
      <c r="G162">
        <v>2.99</v>
      </c>
      <c r="H162">
        <v>1.92</v>
      </c>
      <c r="I162">
        <v>0.1</v>
      </c>
      <c r="J162">
        <v>0.51</v>
      </c>
      <c r="K162">
        <v>5.51</v>
      </c>
    </row>
    <row r="163" spans="1:11" x14ac:dyDescent="0.3">
      <c r="A163">
        <v>162</v>
      </c>
      <c r="B163" t="s">
        <v>207</v>
      </c>
      <c r="C163" t="s">
        <v>129</v>
      </c>
      <c r="D163">
        <v>2008</v>
      </c>
      <c r="E163" t="s">
        <v>22</v>
      </c>
      <c r="F163" t="s">
        <v>175</v>
      </c>
      <c r="G163">
        <v>0.47</v>
      </c>
      <c r="H163">
        <v>0.56999999999999995</v>
      </c>
      <c r="I163">
        <v>4.13</v>
      </c>
      <c r="J163">
        <v>0.34</v>
      </c>
      <c r="K163">
        <v>5.5</v>
      </c>
    </row>
    <row r="164" spans="1:11" x14ac:dyDescent="0.3">
      <c r="A164">
        <v>163</v>
      </c>
      <c r="B164" t="s">
        <v>208</v>
      </c>
      <c r="C164" t="s">
        <v>55</v>
      </c>
      <c r="D164">
        <v>2001</v>
      </c>
      <c r="E164" t="s">
        <v>2</v>
      </c>
      <c r="F164" t="s">
        <v>14</v>
      </c>
      <c r="G164">
        <v>3.14</v>
      </c>
      <c r="H164">
        <v>1.24</v>
      </c>
      <c r="I164">
        <v>0.91</v>
      </c>
      <c r="J164">
        <v>0.2</v>
      </c>
      <c r="K164">
        <v>5.49</v>
      </c>
    </row>
    <row r="165" spans="1:11" x14ac:dyDescent="0.3">
      <c r="A165">
        <v>164</v>
      </c>
      <c r="B165" t="s">
        <v>209</v>
      </c>
      <c r="C165" t="s">
        <v>55</v>
      </c>
      <c r="D165">
        <v>2001</v>
      </c>
      <c r="E165" t="s">
        <v>18</v>
      </c>
      <c r="F165" t="s">
        <v>14</v>
      </c>
      <c r="G165">
        <v>2.62</v>
      </c>
      <c r="H165">
        <v>1.64</v>
      </c>
      <c r="I165">
        <v>0.99</v>
      </c>
      <c r="J165">
        <v>0.23</v>
      </c>
      <c r="K165">
        <v>5.47</v>
      </c>
    </row>
    <row r="166" spans="1:11" x14ac:dyDescent="0.3">
      <c r="A166">
        <v>165</v>
      </c>
      <c r="B166" t="s">
        <v>47</v>
      </c>
      <c r="C166" t="s">
        <v>55</v>
      </c>
      <c r="D166">
        <v>2001</v>
      </c>
      <c r="E166" t="s">
        <v>2</v>
      </c>
      <c r="F166" t="s">
        <v>14</v>
      </c>
      <c r="G166">
        <v>3.21</v>
      </c>
      <c r="H166">
        <v>1.1100000000000001</v>
      </c>
      <c r="I166">
        <v>0.95</v>
      </c>
      <c r="J166">
        <v>0.2</v>
      </c>
      <c r="K166">
        <v>5.46</v>
      </c>
    </row>
    <row r="167" spans="1:11" x14ac:dyDescent="0.3">
      <c r="A167">
        <v>166</v>
      </c>
      <c r="B167" t="s">
        <v>210</v>
      </c>
      <c r="C167" t="s">
        <v>78</v>
      </c>
      <c r="D167">
        <v>1999</v>
      </c>
      <c r="E167" t="s">
        <v>211</v>
      </c>
      <c r="F167" t="s">
        <v>14</v>
      </c>
      <c r="G167">
        <v>3.18</v>
      </c>
      <c r="H167">
        <v>1.24</v>
      </c>
      <c r="I167">
        <v>0.94</v>
      </c>
      <c r="J167">
        <v>0.09</v>
      </c>
      <c r="K167">
        <v>5.45</v>
      </c>
    </row>
    <row r="168" spans="1:11" x14ac:dyDescent="0.3">
      <c r="A168">
        <v>167</v>
      </c>
      <c r="B168" t="s">
        <v>137</v>
      </c>
      <c r="C168" t="s">
        <v>42</v>
      </c>
      <c r="D168">
        <v>2008</v>
      </c>
      <c r="E168" t="s">
        <v>31</v>
      </c>
      <c r="F168" t="s">
        <v>61</v>
      </c>
      <c r="G168">
        <v>2.72</v>
      </c>
      <c r="H168">
        <v>1.87</v>
      </c>
      <c r="I168">
        <v>0</v>
      </c>
      <c r="J168">
        <v>0.84</v>
      </c>
      <c r="K168">
        <v>5.43</v>
      </c>
    </row>
    <row r="169" spans="1:11" x14ac:dyDescent="0.3">
      <c r="A169">
        <v>168</v>
      </c>
      <c r="B169" t="s">
        <v>212</v>
      </c>
      <c r="C169" t="s">
        <v>46</v>
      </c>
      <c r="D169">
        <v>2001</v>
      </c>
      <c r="E169" t="s">
        <v>2</v>
      </c>
      <c r="F169" t="s">
        <v>213</v>
      </c>
      <c r="G169">
        <v>2.0699999999999998</v>
      </c>
      <c r="H169">
        <v>2.29</v>
      </c>
      <c r="I169">
        <v>0.24</v>
      </c>
      <c r="J169">
        <v>0.82</v>
      </c>
      <c r="K169">
        <v>5.42</v>
      </c>
    </row>
    <row r="170" spans="1:11" x14ac:dyDescent="0.3">
      <c r="A170">
        <v>169</v>
      </c>
      <c r="B170" t="s">
        <v>103</v>
      </c>
      <c r="C170" t="s">
        <v>42</v>
      </c>
      <c r="D170">
        <v>2014</v>
      </c>
      <c r="E170" t="s">
        <v>28</v>
      </c>
      <c r="F170" t="s">
        <v>59</v>
      </c>
      <c r="G170">
        <v>1.97</v>
      </c>
      <c r="H170">
        <v>2.5099999999999998</v>
      </c>
      <c r="I170">
        <v>0</v>
      </c>
      <c r="J170">
        <v>0.94</v>
      </c>
      <c r="K170">
        <v>5.42</v>
      </c>
    </row>
    <row r="171" spans="1:11" x14ac:dyDescent="0.3">
      <c r="A171">
        <v>170</v>
      </c>
      <c r="B171" t="s">
        <v>214</v>
      </c>
      <c r="C171" t="s">
        <v>42</v>
      </c>
      <c r="D171">
        <v>2009</v>
      </c>
      <c r="E171" t="s">
        <v>22</v>
      </c>
      <c r="F171" t="s">
        <v>191</v>
      </c>
      <c r="G171">
        <v>1.74</v>
      </c>
      <c r="H171">
        <v>1.24</v>
      </c>
      <c r="I171">
        <v>1.87</v>
      </c>
      <c r="J171">
        <v>0.52</v>
      </c>
      <c r="K171">
        <v>5.36</v>
      </c>
    </row>
    <row r="172" spans="1:11" x14ac:dyDescent="0.3">
      <c r="A172">
        <v>171</v>
      </c>
      <c r="B172" t="s">
        <v>215</v>
      </c>
      <c r="C172" t="s">
        <v>21</v>
      </c>
      <c r="D172">
        <v>1989</v>
      </c>
      <c r="E172" t="s">
        <v>24</v>
      </c>
      <c r="F172" t="s">
        <v>14</v>
      </c>
      <c r="G172">
        <v>2.1800000000000002</v>
      </c>
      <c r="H172">
        <v>0.96</v>
      </c>
      <c r="I172">
        <v>2</v>
      </c>
      <c r="J172">
        <v>0.2</v>
      </c>
      <c r="K172">
        <v>5.34</v>
      </c>
    </row>
    <row r="173" spans="1:11" x14ac:dyDescent="0.3">
      <c r="A173">
        <v>172</v>
      </c>
      <c r="B173" t="s">
        <v>216</v>
      </c>
      <c r="C173" t="s">
        <v>21</v>
      </c>
      <c r="D173">
        <v>1999</v>
      </c>
      <c r="E173" t="s">
        <v>28</v>
      </c>
      <c r="F173" t="s">
        <v>14</v>
      </c>
      <c r="G173">
        <v>3.02</v>
      </c>
      <c r="H173">
        <v>1.1200000000000001</v>
      </c>
      <c r="I173">
        <v>1.01</v>
      </c>
      <c r="J173">
        <v>0.16</v>
      </c>
      <c r="K173">
        <v>5.31</v>
      </c>
    </row>
    <row r="174" spans="1:11" x14ac:dyDescent="0.3">
      <c r="A174">
        <v>173</v>
      </c>
      <c r="B174" t="s">
        <v>167</v>
      </c>
      <c r="C174" t="s">
        <v>39</v>
      </c>
      <c r="D174">
        <v>2012</v>
      </c>
      <c r="E174" t="s">
        <v>43</v>
      </c>
      <c r="F174" t="s">
        <v>92</v>
      </c>
      <c r="G174">
        <v>3.13</v>
      </c>
      <c r="H174">
        <v>1.71</v>
      </c>
      <c r="I174">
        <v>0.03</v>
      </c>
      <c r="J174">
        <v>0.44</v>
      </c>
      <c r="K174">
        <v>5.3</v>
      </c>
    </row>
    <row r="175" spans="1:11" x14ac:dyDescent="0.3">
      <c r="A175">
        <v>174</v>
      </c>
      <c r="B175" t="s">
        <v>217</v>
      </c>
      <c r="C175" t="s">
        <v>86</v>
      </c>
      <c r="D175">
        <v>2000</v>
      </c>
      <c r="E175" t="s">
        <v>22</v>
      </c>
      <c r="F175" t="s">
        <v>124</v>
      </c>
      <c r="G175">
        <v>1.62</v>
      </c>
      <c r="H175">
        <v>0.77</v>
      </c>
      <c r="I175">
        <v>2.78</v>
      </c>
      <c r="J175">
        <v>0.14000000000000001</v>
      </c>
      <c r="K175">
        <v>5.3</v>
      </c>
    </row>
    <row r="176" spans="1:11" x14ac:dyDescent="0.3">
      <c r="A176">
        <v>175</v>
      </c>
      <c r="B176" t="s">
        <v>218</v>
      </c>
      <c r="C176" t="s">
        <v>46</v>
      </c>
      <c r="D176">
        <v>2003</v>
      </c>
      <c r="E176" t="s">
        <v>22</v>
      </c>
      <c r="F176" t="s">
        <v>110</v>
      </c>
      <c r="G176">
        <v>1.92</v>
      </c>
      <c r="H176">
        <v>1.08</v>
      </c>
      <c r="I176">
        <v>2.11</v>
      </c>
      <c r="J176">
        <v>0.17</v>
      </c>
      <c r="K176">
        <v>5.29</v>
      </c>
    </row>
    <row r="177" spans="1:11" x14ac:dyDescent="0.3">
      <c r="A177">
        <v>176</v>
      </c>
      <c r="B177" t="s">
        <v>219</v>
      </c>
      <c r="C177" t="s">
        <v>78</v>
      </c>
      <c r="D177">
        <v>1999</v>
      </c>
      <c r="E177" t="s">
        <v>2</v>
      </c>
      <c r="F177" t="s">
        <v>14</v>
      </c>
      <c r="G177">
        <v>3.33</v>
      </c>
      <c r="H177">
        <v>0.79</v>
      </c>
      <c r="I177">
        <v>1.0900000000000001</v>
      </c>
      <c r="J177">
        <v>0.06</v>
      </c>
      <c r="K177">
        <v>5.27</v>
      </c>
    </row>
    <row r="178" spans="1:11" x14ac:dyDescent="0.3">
      <c r="A178">
        <v>177</v>
      </c>
      <c r="B178" t="s">
        <v>201</v>
      </c>
      <c r="C178" t="s">
        <v>39</v>
      </c>
      <c r="D178">
        <v>2009</v>
      </c>
      <c r="E178" t="s">
        <v>43</v>
      </c>
      <c r="F178" t="s">
        <v>92</v>
      </c>
      <c r="G178">
        <v>3.1</v>
      </c>
      <c r="H178">
        <v>1.56</v>
      </c>
      <c r="I178">
        <v>0.08</v>
      </c>
      <c r="J178">
        <v>0.51</v>
      </c>
      <c r="K178">
        <v>5.27</v>
      </c>
    </row>
    <row r="179" spans="1:11" x14ac:dyDescent="0.3">
      <c r="A179">
        <v>178</v>
      </c>
      <c r="B179" t="s">
        <v>220</v>
      </c>
      <c r="C179" t="s">
        <v>26</v>
      </c>
      <c r="D179">
        <v>2007</v>
      </c>
      <c r="E179" t="s">
        <v>24</v>
      </c>
      <c r="F179" t="s">
        <v>14</v>
      </c>
      <c r="G179">
        <v>1.22</v>
      </c>
      <c r="H179">
        <v>2.48</v>
      </c>
      <c r="I179">
        <v>1.03</v>
      </c>
      <c r="J179">
        <v>0.52</v>
      </c>
      <c r="K179">
        <v>5.26</v>
      </c>
    </row>
    <row r="180" spans="1:11" x14ac:dyDescent="0.3">
      <c r="A180">
        <v>179</v>
      </c>
      <c r="B180" t="s">
        <v>221</v>
      </c>
      <c r="C180" t="s">
        <v>86</v>
      </c>
      <c r="D180">
        <v>1997</v>
      </c>
      <c r="E180" t="s">
        <v>43</v>
      </c>
      <c r="F180" t="s">
        <v>222</v>
      </c>
      <c r="G180">
        <v>2.2999999999999998</v>
      </c>
      <c r="H180">
        <v>2.46</v>
      </c>
      <c r="I180">
        <v>0.2</v>
      </c>
      <c r="J180">
        <v>0.28000000000000003</v>
      </c>
      <c r="K180">
        <v>5.24</v>
      </c>
    </row>
    <row r="181" spans="1:11" x14ac:dyDescent="0.3">
      <c r="A181">
        <v>180</v>
      </c>
      <c r="B181" t="s">
        <v>223</v>
      </c>
      <c r="C181" t="s">
        <v>46</v>
      </c>
      <c r="D181" t="s">
        <v>224</v>
      </c>
      <c r="E181" t="s">
        <v>13</v>
      </c>
      <c r="F181" t="s">
        <v>110</v>
      </c>
      <c r="G181">
        <v>4.26</v>
      </c>
      <c r="H181">
        <v>0.26</v>
      </c>
      <c r="I181">
        <v>0.01</v>
      </c>
      <c r="J181">
        <v>0.71</v>
      </c>
      <c r="K181">
        <v>5.23</v>
      </c>
    </row>
    <row r="182" spans="1:11" x14ac:dyDescent="0.3">
      <c r="A182">
        <v>181</v>
      </c>
      <c r="B182" t="s">
        <v>225</v>
      </c>
      <c r="C182" t="s">
        <v>46</v>
      </c>
      <c r="D182">
        <v>2004</v>
      </c>
      <c r="E182" t="s">
        <v>22</v>
      </c>
      <c r="F182" t="s">
        <v>191</v>
      </c>
      <c r="G182">
        <v>0.65</v>
      </c>
      <c r="H182">
        <v>0.75</v>
      </c>
      <c r="I182">
        <v>3.61</v>
      </c>
      <c r="J182">
        <v>0.2</v>
      </c>
      <c r="K182">
        <v>5.21</v>
      </c>
    </row>
    <row r="183" spans="1:11" x14ac:dyDescent="0.3">
      <c r="A183">
        <v>182</v>
      </c>
      <c r="B183" t="s">
        <v>226</v>
      </c>
      <c r="C183" t="s">
        <v>118</v>
      </c>
      <c r="D183">
        <v>2012</v>
      </c>
      <c r="E183" t="s">
        <v>22</v>
      </c>
      <c r="F183" t="s">
        <v>61</v>
      </c>
      <c r="G183">
        <v>2.4300000000000002</v>
      </c>
      <c r="H183">
        <v>2.15</v>
      </c>
      <c r="I183">
        <v>0</v>
      </c>
      <c r="J183">
        <v>0.62</v>
      </c>
      <c r="K183">
        <v>5.2</v>
      </c>
    </row>
    <row r="184" spans="1:11" x14ac:dyDescent="0.3">
      <c r="A184">
        <v>183</v>
      </c>
      <c r="B184" t="s">
        <v>52</v>
      </c>
      <c r="C184" t="s">
        <v>55</v>
      </c>
      <c r="D184">
        <v>2003</v>
      </c>
      <c r="E184" t="s">
        <v>2</v>
      </c>
      <c r="F184" t="s">
        <v>14</v>
      </c>
      <c r="G184">
        <v>2.93</v>
      </c>
      <c r="H184">
        <v>1.25</v>
      </c>
      <c r="I184">
        <v>0.83</v>
      </c>
      <c r="J184">
        <v>0.2</v>
      </c>
      <c r="K184">
        <v>5.2</v>
      </c>
    </row>
    <row r="185" spans="1:11" x14ac:dyDescent="0.3">
      <c r="A185">
        <v>184</v>
      </c>
      <c r="B185" t="s">
        <v>227</v>
      </c>
      <c r="C185" t="s">
        <v>148</v>
      </c>
      <c r="D185">
        <v>2012</v>
      </c>
      <c r="E185" t="s">
        <v>2</v>
      </c>
      <c r="F185" t="s">
        <v>14</v>
      </c>
      <c r="G185">
        <v>2.3199999999999998</v>
      </c>
      <c r="H185">
        <v>1.3</v>
      </c>
      <c r="I185">
        <v>1.27</v>
      </c>
      <c r="J185">
        <v>0.31</v>
      </c>
      <c r="K185">
        <v>5.19</v>
      </c>
    </row>
    <row r="186" spans="1:11" x14ac:dyDescent="0.3">
      <c r="A186">
        <v>185</v>
      </c>
      <c r="B186" t="s">
        <v>228</v>
      </c>
      <c r="C186" t="s">
        <v>21</v>
      </c>
      <c r="D186">
        <v>1994</v>
      </c>
      <c r="E186" t="s">
        <v>2</v>
      </c>
      <c r="F186" t="s">
        <v>14</v>
      </c>
      <c r="G186">
        <v>2.4900000000000002</v>
      </c>
      <c r="H186">
        <v>0.98</v>
      </c>
      <c r="I186">
        <v>1.57</v>
      </c>
      <c r="J186">
        <v>0.15</v>
      </c>
      <c r="K186">
        <v>5.19</v>
      </c>
    </row>
    <row r="187" spans="1:11" x14ac:dyDescent="0.3">
      <c r="A187">
        <v>186</v>
      </c>
      <c r="B187" t="s">
        <v>116</v>
      </c>
      <c r="C187" t="s">
        <v>39</v>
      </c>
      <c r="D187">
        <v>2012</v>
      </c>
      <c r="E187" t="s">
        <v>43</v>
      </c>
      <c r="F187" t="s">
        <v>110</v>
      </c>
      <c r="G187">
        <v>1.08</v>
      </c>
      <c r="H187">
        <v>3.48</v>
      </c>
      <c r="I187">
        <v>0.03</v>
      </c>
      <c r="J187">
        <v>0.57999999999999996</v>
      </c>
      <c r="K187">
        <v>5.18</v>
      </c>
    </row>
    <row r="188" spans="1:11" x14ac:dyDescent="0.3">
      <c r="A188">
        <v>187</v>
      </c>
      <c r="B188" t="s">
        <v>229</v>
      </c>
      <c r="C188" t="s">
        <v>26</v>
      </c>
      <c r="D188">
        <v>2007</v>
      </c>
      <c r="E188" t="s">
        <v>43</v>
      </c>
      <c r="F188" t="s">
        <v>14</v>
      </c>
      <c r="G188">
        <v>1.9</v>
      </c>
      <c r="H188">
        <v>1.83</v>
      </c>
      <c r="I188">
        <v>0.95</v>
      </c>
      <c r="J188">
        <v>0.49</v>
      </c>
      <c r="K188">
        <v>5.17</v>
      </c>
    </row>
    <row r="189" spans="1:11" x14ac:dyDescent="0.3">
      <c r="A189">
        <v>188</v>
      </c>
      <c r="B189" t="s">
        <v>230</v>
      </c>
      <c r="C189" t="s">
        <v>48</v>
      </c>
      <c r="D189">
        <v>1995</v>
      </c>
      <c r="E189" t="s">
        <v>2</v>
      </c>
      <c r="F189" t="s">
        <v>14</v>
      </c>
      <c r="G189">
        <v>2.1</v>
      </c>
      <c r="H189">
        <v>0.74</v>
      </c>
      <c r="I189">
        <v>2.2000000000000002</v>
      </c>
      <c r="J189">
        <v>0.11</v>
      </c>
      <c r="K189">
        <v>5.15</v>
      </c>
    </row>
    <row r="190" spans="1:11" x14ac:dyDescent="0.3">
      <c r="A190">
        <v>189</v>
      </c>
      <c r="B190" t="s">
        <v>231</v>
      </c>
      <c r="C190" t="s">
        <v>65</v>
      </c>
      <c r="D190">
        <v>2013</v>
      </c>
      <c r="E190" t="s">
        <v>33</v>
      </c>
      <c r="F190" t="s">
        <v>14</v>
      </c>
      <c r="G190">
        <v>0.96</v>
      </c>
      <c r="H190">
        <v>2.02</v>
      </c>
      <c r="I190">
        <v>1.89</v>
      </c>
      <c r="J190">
        <v>0.28000000000000003</v>
      </c>
      <c r="K190">
        <v>5.15</v>
      </c>
    </row>
    <row r="191" spans="1:11" x14ac:dyDescent="0.3">
      <c r="A191">
        <v>190</v>
      </c>
      <c r="B191" t="s">
        <v>120</v>
      </c>
      <c r="C191" t="s">
        <v>26</v>
      </c>
      <c r="D191">
        <v>2008</v>
      </c>
      <c r="E191" t="s">
        <v>13</v>
      </c>
      <c r="F191" t="s">
        <v>121</v>
      </c>
      <c r="G191">
        <v>1.64</v>
      </c>
      <c r="H191">
        <v>2.48</v>
      </c>
      <c r="I191">
        <v>0.44</v>
      </c>
      <c r="J191">
        <v>0.57999999999999996</v>
      </c>
      <c r="K191">
        <v>5.14</v>
      </c>
    </row>
    <row r="192" spans="1:11" x14ac:dyDescent="0.3">
      <c r="A192">
        <v>191</v>
      </c>
      <c r="B192" t="s">
        <v>232</v>
      </c>
      <c r="C192" t="s">
        <v>46</v>
      </c>
      <c r="D192">
        <v>2003</v>
      </c>
      <c r="E192" t="s">
        <v>31</v>
      </c>
      <c r="F192" t="s">
        <v>110</v>
      </c>
      <c r="G192">
        <v>1.98</v>
      </c>
      <c r="H192">
        <v>2.23</v>
      </c>
      <c r="I192">
        <v>0.13</v>
      </c>
      <c r="J192">
        <v>0.8</v>
      </c>
      <c r="K192">
        <v>5.13</v>
      </c>
    </row>
    <row r="193" spans="1:11" x14ac:dyDescent="0.3">
      <c r="A193">
        <v>192</v>
      </c>
      <c r="B193" t="s">
        <v>233</v>
      </c>
      <c r="C193" t="s">
        <v>21</v>
      </c>
      <c r="D193">
        <v>1992</v>
      </c>
      <c r="E193" t="s">
        <v>2</v>
      </c>
      <c r="F193" t="s">
        <v>14</v>
      </c>
      <c r="G193">
        <v>2.71</v>
      </c>
      <c r="H193">
        <v>0.61</v>
      </c>
      <c r="I193">
        <v>1.7</v>
      </c>
      <c r="J193">
        <v>0.11</v>
      </c>
      <c r="K193">
        <v>5.13</v>
      </c>
    </row>
    <row r="194" spans="1:11" x14ac:dyDescent="0.3">
      <c r="A194">
        <v>193</v>
      </c>
      <c r="B194" t="s">
        <v>234</v>
      </c>
      <c r="C194" t="s">
        <v>39</v>
      </c>
      <c r="D194">
        <v>2010</v>
      </c>
      <c r="E194" t="s">
        <v>22</v>
      </c>
      <c r="F194" t="s">
        <v>40</v>
      </c>
      <c r="G194">
        <v>3.59</v>
      </c>
      <c r="H194">
        <v>1.1100000000000001</v>
      </c>
      <c r="I194">
        <v>0.05</v>
      </c>
      <c r="J194">
        <v>0.38</v>
      </c>
      <c r="K194">
        <v>5.13</v>
      </c>
    </row>
    <row r="195" spans="1:11" x14ac:dyDescent="0.3">
      <c r="A195">
        <v>194</v>
      </c>
      <c r="B195" t="s">
        <v>132</v>
      </c>
      <c r="C195" t="s">
        <v>140</v>
      </c>
      <c r="D195">
        <v>2014</v>
      </c>
      <c r="E195" t="s">
        <v>31</v>
      </c>
      <c r="F195" t="s">
        <v>61</v>
      </c>
      <c r="G195">
        <v>3.21</v>
      </c>
      <c r="H195">
        <v>1.53</v>
      </c>
      <c r="I195">
        <v>0.01</v>
      </c>
      <c r="J195">
        <v>0.38</v>
      </c>
      <c r="K195">
        <v>5.13</v>
      </c>
    </row>
    <row r="196" spans="1:11" x14ac:dyDescent="0.3">
      <c r="A196">
        <v>195</v>
      </c>
      <c r="B196" t="s">
        <v>235</v>
      </c>
      <c r="C196" t="s">
        <v>118</v>
      </c>
      <c r="D196">
        <v>1996</v>
      </c>
      <c r="E196" t="s">
        <v>33</v>
      </c>
      <c r="F196" t="s">
        <v>40</v>
      </c>
      <c r="G196">
        <v>3.22</v>
      </c>
      <c r="H196">
        <v>1.69</v>
      </c>
      <c r="I196">
        <v>0</v>
      </c>
      <c r="J196">
        <v>0.2</v>
      </c>
      <c r="K196">
        <v>5.12</v>
      </c>
    </row>
    <row r="197" spans="1:11" x14ac:dyDescent="0.3">
      <c r="A197">
        <v>196</v>
      </c>
      <c r="B197" t="s">
        <v>236</v>
      </c>
      <c r="C197" t="s">
        <v>46</v>
      </c>
      <c r="D197">
        <v>2006</v>
      </c>
      <c r="E197" t="s">
        <v>28</v>
      </c>
      <c r="F197" t="s">
        <v>237</v>
      </c>
      <c r="G197">
        <v>3.81</v>
      </c>
      <c r="H197">
        <v>0.63</v>
      </c>
      <c r="I197">
        <v>0</v>
      </c>
      <c r="J197">
        <v>0.68</v>
      </c>
      <c r="K197">
        <v>5.12</v>
      </c>
    </row>
    <row r="198" spans="1:11" x14ac:dyDescent="0.3">
      <c r="A198">
        <v>197</v>
      </c>
      <c r="B198" t="s">
        <v>238</v>
      </c>
      <c r="C198" t="s">
        <v>42</v>
      </c>
      <c r="D198">
        <v>2009</v>
      </c>
      <c r="E198" t="s">
        <v>43</v>
      </c>
      <c r="F198" t="s">
        <v>175</v>
      </c>
      <c r="G198">
        <v>1.96</v>
      </c>
      <c r="H198">
        <v>1.43</v>
      </c>
      <c r="I198">
        <v>1.08</v>
      </c>
      <c r="J198">
        <v>0.65</v>
      </c>
      <c r="K198">
        <v>5.1100000000000003</v>
      </c>
    </row>
    <row r="199" spans="1:11" x14ac:dyDescent="0.3">
      <c r="A199">
        <v>198</v>
      </c>
      <c r="B199" t="s">
        <v>41</v>
      </c>
      <c r="C199" t="s">
        <v>140</v>
      </c>
      <c r="D199">
        <v>2014</v>
      </c>
      <c r="E199" t="s">
        <v>43</v>
      </c>
      <c r="F199" t="s">
        <v>44</v>
      </c>
      <c r="G199">
        <v>2.66</v>
      </c>
      <c r="H199">
        <v>2.0099999999999998</v>
      </c>
      <c r="I199">
        <v>0</v>
      </c>
      <c r="J199">
        <v>0.41</v>
      </c>
      <c r="K199">
        <v>5.08</v>
      </c>
    </row>
    <row r="200" spans="1:11" x14ac:dyDescent="0.3">
      <c r="A200">
        <v>199</v>
      </c>
      <c r="B200" t="s">
        <v>239</v>
      </c>
      <c r="C200" t="s">
        <v>129</v>
      </c>
      <c r="D200">
        <v>2006</v>
      </c>
      <c r="E200" t="s">
        <v>43</v>
      </c>
      <c r="F200" t="s">
        <v>44</v>
      </c>
      <c r="G200">
        <v>1.7</v>
      </c>
      <c r="H200">
        <v>2.02</v>
      </c>
      <c r="I200">
        <v>0.16</v>
      </c>
      <c r="J200">
        <v>1.21</v>
      </c>
      <c r="K200">
        <v>5.08</v>
      </c>
    </row>
    <row r="201" spans="1:11" x14ac:dyDescent="0.3">
      <c r="A201">
        <v>200</v>
      </c>
      <c r="B201" t="s">
        <v>240</v>
      </c>
      <c r="C201" t="s">
        <v>42</v>
      </c>
      <c r="D201">
        <v>2010</v>
      </c>
      <c r="E201" t="s">
        <v>13</v>
      </c>
      <c r="F201" t="s">
        <v>110</v>
      </c>
      <c r="G201">
        <v>0.6</v>
      </c>
      <c r="H201">
        <v>3.29</v>
      </c>
      <c r="I201">
        <v>0.06</v>
      </c>
      <c r="J201">
        <v>1.1299999999999999</v>
      </c>
      <c r="K201">
        <v>5.08</v>
      </c>
    </row>
    <row r="202" spans="1:11" x14ac:dyDescent="0.3">
      <c r="A202">
        <v>201</v>
      </c>
      <c r="B202" t="s">
        <v>15</v>
      </c>
      <c r="C202" t="s">
        <v>21</v>
      </c>
      <c r="D202">
        <v>1999</v>
      </c>
      <c r="E202" t="s">
        <v>2</v>
      </c>
      <c r="F202" t="s">
        <v>14</v>
      </c>
      <c r="G202">
        <v>3.4</v>
      </c>
      <c r="H202">
        <v>1.3</v>
      </c>
      <c r="I202">
        <v>0.15</v>
      </c>
      <c r="J202">
        <v>0.22</v>
      </c>
      <c r="K202">
        <v>5.07</v>
      </c>
    </row>
    <row r="203" spans="1:11" x14ac:dyDescent="0.3">
      <c r="A203">
        <v>202</v>
      </c>
      <c r="B203" t="s">
        <v>241</v>
      </c>
      <c r="C203" t="s">
        <v>86</v>
      </c>
      <c r="D203">
        <v>1996</v>
      </c>
      <c r="E203" t="s">
        <v>43</v>
      </c>
      <c r="F203" t="s">
        <v>197</v>
      </c>
      <c r="G203">
        <v>2.0499999999999998</v>
      </c>
      <c r="H203">
        <v>1.1599999999999999</v>
      </c>
      <c r="I203">
        <v>1.1100000000000001</v>
      </c>
      <c r="J203">
        <v>0.73</v>
      </c>
      <c r="K203">
        <v>5.05</v>
      </c>
    </row>
    <row r="204" spans="1:11" x14ac:dyDescent="0.3">
      <c r="A204">
        <v>203</v>
      </c>
      <c r="B204" t="s">
        <v>242</v>
      </c>
      <c r="C204" t="s">
        <v>86</v>
      </c>
      <c r="D204">
        <v>1999</v>
      </c>
      <c r="E204" t="s">
        <v>13</v>
      </c>
      <c r="F204" t="s">
        <v>61</v>
      </c>
      <c r="G204">
        <v>3.42</v>
      </c>
      <c r="H204">
        <v>1.38</v>
      </c>
      <c r="I204">
        <v>0.02</v>
      </c>
      <c r="J204">
        <v>0.2</v>
      </c>
      <c r="K204">
        <v>5.0199999999999996</v>
      </c>
    </row>
    <row r="205" spans="1:11" x14ac:dyDescent="0.3">
      <c r="A205">
        <v>204</v>
      </c>
      <c r="B205" t="s">
        <v>136</v>
      </c>
      <c r="C205" t="s">
        <v>148</v>
      </c>
      <c r="D205">
        <v>2014</v>
      </c>
      <c r="E205" t="s">
        <v>72</v>
      </c>
      <c r="F205" t="s">
        <v>14</v>
      </c>
      <c r="G205">
        <v>2.59</v>
      </c>
      <c r="H205">
        <v>1.06</v>
      </c>
      <c r="I205">
        <v>0.8</v>
      </c>
      <c r="J205">
        <v>0.56999999999999995</v>
      </c>
      <c r="K205">
        <v>5.0199999999999996</v>
      </c>
    </row>
    <row r="206" spans="1:11" x14ac:dyDescent="0.3">
      <c r="A206">
        <v>205</v>
      </c>
      <c r="B206" t="s">
        <v>243</v>
      </c>
      <c r="C206" t="s">
        <v>86</v>
      </c>
      <c r="D206">
        <v>1999</v>
      </c>
      <c r="E206" t="s">
        <v>211</v>
      </c>
      <c r="F206" t="s">
        <v>222</v>
      </c>
      <c r="G206">
        <v>2.79</v>
      </c>
      <c r="H206">
        <v>1.89</v>
      </c>
      <c r="I206">
        <v>0</v>
      </c>
      <c r="J206">
        <v>0.33</v>
      </c>
      <c r="K206">
        <v>5.01</v>
      </c>
    </row>
    <row r="207" spans="1:11" x14ac:dyDescent="0.3">
      <c r="A207">
        <v>206</v>
      </c>
      <c r="B207" t="s">
        <v>244</v>
      </c>
      <c r="C207" t="s">
        <v>86</v>
      </c>
      <c r="D207">
        <v>1998</v>
      </c>
      <c r="E207" t="s">
        <v>2</v>
      </c>
      <c r="F207" t="s">
        <v>59</v>
      </c>
      <c r="G207">
        <v>3.36</v>
      </c>
      <c r="H207">
        <v>1.36</v>
      </c>
      <c r="I207">
        <v>7.0000000000000007E-2</v>
      </c>
      <c r="J207">
        <v>0.21</v>
      </c>
      <c r="K207">
        <v>5</v>
      </c>
    </row>
    <row r="208" spans="1:11" x14ac:dyDescent="0.3">
      <c r="A208">
        <v>207</v>
      </c>
      <c r="B208" t="s">
        <v>245</v>
      </c>
      <c r="C208" t="s">
        <v>12</v>
      </c>
      <c r="D208">
        <v>2007</v>
      </c>
      <c r="E208" t="s">
        <v>31</v>
      </c>
      <c r="F208" t="s">
        <v>14</v>
      </c>
      <c r="G208">
        <v>3.06</v>
      </c>
      <c r="H208">
        <v>1.18</v>
      </c>
      <c r="I208">
        <v>0.28999999999999998</v>
      </c>
      <c r="J208">
        <v>0.46</v>
      </c>
      <c r="K208">
        <v>5</v>
      </c>
    </row>
    <row r="209" spans="1:11" x14ac:dyDescent="0.3">
      <c r="A209">
        <v>208</v>
      </c>
      <c r="B209" t="s">
        <v>246</v>
      </c>
      <c r="C209" t="s">
        <v>46</v>
      </c>
      <c r="D209">
        <v>2007</v>
      </c>
      <c r="E209" t="s">
        <v>28</v>
      </c>
      <c r="F209" t="s">
        <v>61</v>
      </c>
      <c r="G209">
        <v>3.49</v>
      </c>
      <c r="H209">
        <v>0.01</v>
      </c>
      <c r="I209">
        <v>0.01</v>
      </c>
      <c r="J209">
        <v>1.48</v>
      </c>
      <c r="K209">
        <v>4.9800000000000004</v>
      </c>
    </row>
    <row r="210" spans="1:11" x14ac:dyDescent="0.3">
      <c r="A210">
        <v>209</v>
      </c>
      <c r="B210" t="s">
        <v>247</v>
      </c>
      <c r="C210" t="s">
        <v>39</v>
      </c>
      <c r="D210">
        <v>2008</v>
      </c>
      <c r="E210" t="s">
        <v>22</v>
      </c>
      <c r="F210" t="s">
        <v>107</v>
      </c>
      <c r="G210">
        <v>3.39</v>
      </c>
      <c r="H210">
        <v>1.03</v>
      </c>
      <c r="I210">
        <v>0.09</v>
      </c>
      <c r="J210">
        <v>0.44</v>
      </c>
      <c r="K210">
        <v>4.96</v>
      </c>
    </row>
    <row r="211" spans="1:11" x14ac:dyDescent="0.3">
      <c r="A211">
        <v>210</v>
      </c>
      <c r="B211" t="s">
        <v>248</v>
      </c>
      <c r="C211" t="s">
        <v>26</v>
      </c>
      <c r="D211">
        <v>2007</v>
      </c>
      <c r="E211" t="s">
        <v>22</v>
      </c>
      <c r="F211" t="s">
        <v>14</v>
      </c>
      <c r="G211">
        <v>1.85</v>
      </c>
      <c r="H211">
        <v>1.2</v>
      </c>
      <c r="I211">
        <v>1.54</v>
      </c>
      <c r="J211">
        <v>0.37</v>
      </c>
      <c r="K211">
        <v>4.96</v>
      </c>
    </row>
    <row r="212" spans="1:11" x14ac:dyDescent="0.3">
      <c r="A212">
        <v>211</v>
      </c>
      <c r="B212" t="s">
        <v>249</v>
      </c>
      <c r="C212" t="s">
        <v>42</v>
      </c>
      <c r="D212">
        <v>2007</v>
      </c>
      <c r="E212" t="s">
        <v>43</v>
      </c>
      <c r="F212" t="s">
        <v>59</v>
      </c>
      <c r="G212">
        <v>2.31</v>
      </c>
      <c r="H212">
        <v>1.73</v>
      </c>
      <c r="I212">
        <v>0.12</v>
      </c>
      <c r="J212">
        <v>0.78</v>
      </c>
      <c r="K212">
        <v>4.9400000000000004</v>
      </c>
    </row>
    <row r="213" spans="1:11" x14ac:dyDescent="0.3">
      <c r="A213">
        <v>212</v>
      </c>
      <c r="B213" t="s">
        <v>250</v>
      </c>
      <c r="C213" t="s">
        <v>46</v>
      </c>
      <c r="D213">
        <v>2005</v>
      </c>
      <c r="E213" t="s">
        <v>13</v>
      </c>
      <c r="F213" t="s">
        <v>110</v>
      </c>
      <c r="G213">
        <v>3.98</v>
      </c>
      <c r="H213">
        <v>0.26</v>
      </c>
      <c r="I213">
        <v>0.01</v>
      </c>
      <c r="J213">
        <v>0.66</v>
      </c>
      <c r="K213">
        <v>4.91</v>
      </c>
    </row>
    <row r="214" spans="1:11" x14ac:dyDescent="0.3">
      <c r="A214">
        <v>213</v>
      </c>
      <c r="B214" t="s">
        <v>194</v>
      </c>
      <c r="C214" t="s">
        <v>26</v>
      </c>
      <c r="D214">
        <v>2007</v>
      </c>
      <c r="E214" t="s">
        <v>43</v>
      </c>
      <c r="F214" t="s">
        <v>195</v>
      </c>
      <c r="G214">
        <v>2.89</v>
      </c>
      <c r="H214">
        <v>1.54</v>
      </c>
      <c r="I214">
        <v>0</v>
      </c>
      <c r="J214">
        <v>0.46</v>
      </c>
      <c r="K214">
        <v>4.9000000000000004</v>
      </c>
    </row>
    <row r="215" spans="1:11" x14ac:dyDescent="0.3">
      <c r="A215">
        <v>214</v>
      </c>
      <c r="B215" t="s">
        <v>251</v>
      </c>
      <c r="C215" t="s">
        <v>78</v>
      </c>
      <c r="D215">
        <v>1997</v>
      </c>
      <c r="E215" t="s">
        <v>18</v>
      </c>
      <c r="F215" t="s">
        <v>14</v>
      </c>
      <c r="G215">
        <v>2.91</v>
      </c>
      <c r="H215">
        <v>0.99</v>
      </c>
      <c r="I215">
        <v>0.89</v>
      </c>
      <c r="J215">
        <v>0.1</v>
      </c>
      <c r="K215">
        <v>4.88</v>
      </c>
    </row>
    <row r="216" spans="1:11" x14ac:dyDescent="0.3">
      <c r="A216">
        <v>215</v>
      </c>
      <c r="B216" t="s">
        <v>252</v>
      </c>
      <c r="C216" t="s">
        <v>129</v>
      </c>
      <c r="D216">
        <v>2010</v>
      </c>
      <c r="E216" t="s">
        <v>22</v>
      </c>
      <c r="F216" t="s">
        <v>175</v>
      </c>
      <c r="G216">
        <v>0</v>
      </c>
      <c r="H216">
        <v>0</v>
      </c>
      <c r="I216">
        <v>4.87</v>
      </c>
      <c r="J216">
        <v>0</v>
      </c>
      <c r="K216">
        <v>4.87</v>
      </c>
    </row>
    <row r="217" spans="1:11" x14ac:dyDescent="0.3">
      <c r="A217">
        <v>216</v>
      </c>
      <c r="B217" t="s">
        <v>215</v>
      </c>
      <c r="C217" t="s">
        <v>16</v>
      </c>
      <c r="D217">
        <v>1990</v>
      </c>
      <c r="E217" t="s">
        <v>24</v>
      </c>
      <c r="F217" t="s">
        <v>14</v>
      </c>
      <c r="G217">
        <v>2.62</v>
      </c>
      <c r="H217">
        <v>0.6</v>
      </c>
      <c r="I217">
        <v>1.52</v>
      </c>
      <c r="J217">
        <v>0.1</v>
      </c>
      <c r="K217">
        <v>4.8499999999999996</v>
      </c>
    </row>
    <row r="218" spans="1:11" x14ac:dyDescent="0.3">
      <c r="A218">
        <v>217</v>
      </c>
      <c r="B218" t="s">
        <v>253</v>
      </c>
      <c r="C218" t="s">
        <v>42</v>
      </c>
      <c r="D218">
        <v>2010</v>
      </c>
      <c r="E218" t="s">
        <v>43</v>
      </c>
      <c r="F218" t="s">
        <v>59</v>
      </c>
      <c r="G218">
        <v>2.74</v>
      </c>
      <c r="H218">
        <v>1.36</v>
      </c>
      <c r="I218">
        <v>0.12</v>
      </c>
      <c r="J218">
        <v>0.63</v>
      </c>
      <c r="K218">
        <v>4.84</v>
      </c>
    </row>
    <row r="219" spans="1:11" x14ac:dyDescent="0.3">
      <c r="A219">
        <v>218</v>
      </c>
      <c r="B219" t="s">
        <v>254</v>
      </c>
      <c r="C219" t="s">
        <v>118</v>
      </c>
      <c r="D219">
        <v>2010</v>
      </c>
      <c r="E219" t="s">
        <v>211</v>
      </c>
      <c r="F219" t="s">
        <v>61</v>
      </c>
      <c r="G219">
        <v>2.56</v>
      </c>
      <c r="H219">
        <v>1.68</v>
      </c>
      <c r="I219">
        <v>0</v>
      </c>
      <c r="J219">
        <v>0.59</v>
      </c>
      <c r="K219">
        <v>4.83</v>
      </c>
    </row>
    <row r="220" spans="1:11" x14ac:dyDescent="0.3">
      <c r="A220">
        <v>219</v>
      </c>
      <c r="B220" t="s">
        <v>203</v>
      </c>
      <c r="C220" t="s">
        <v>42</v>
      </c>
      <c r="D220">
        <v>2007</v>
      </c>
      <c r="E220" t="s">
        <v>83</v>
      </c>
      <c r="F220" t="s">
        <v>92</v>
      </c>
      <c r="G220">
        <v>1.91</v>
      </c>
      <c r="H220">
        <v>2</v>
      </c>
      <c r="I220">
        <v>0.09</v>
      </c>
      <c r="J220">
        <v>0.83</v>
      </c>
      <c r="K220">
        <v>4.83</v>
      </c>
    </row>
    <row r="221" spans="1:11" x14ac:dyDescent="0.3">
      <c r="A221">
        <v>220</v>
      </c>
      <c r="B221" t="s">
        <v>164</v>
      </c>
      <c r="C221" t="s">
        <v>42</v>
      </c>
      <c r="D221">
        <v>2014</v>
      </c>
      <c r="E221" t="s">
        <v>13</v>
      </c>
      <c r="F221" t="s">
        <v>110</v>
      </c>
      <c r="G221">
        <v>0.56999999999999995</v>
      </c>
      <c r="H221">
        <v>3.14</v>
      </c>
      <c r="I221">
        <v>0.04</v>
      </c>
      <c r="J221">
        <v>1.07</v>
      </c>
      <c r="K221">
        <v>4.82</v>
      </c>
    </row>
    <row r="222" spans="1:11" x14ac:dyDescent="0.3">
      <c r="A222">
        <v>221</v>
      </c>
      <c r="B222" t="s">
        <v>255</v>
      </c>
      <c r="C222" t="s">
        <v>86</v>
      </c>
      <c r="D222">
        <v>1999</v>
      </c>
      <c r="E222" t="s">
        <v>18</v>
      </c>
      <c r="F222" t="s">
        <v>59</v>
      </c>
      <c r="G222">
        <v>2.57</v>
      </c>
      <c r="H222">
        <v>1.57</v>
      </c>
      <c r="I222">
        <v>0.44</v>
      </c>
      <c r="J222">
        <v>0.21</v>
      </c>
      <c r="K222">
        <v>4.79</v>
      </c>
    </row>
    <row r="223" spans="1:11" x14ac:dyDescent="0.3">
      <c r="A223">
        <v>222</v>
      </c>
      <c r="B223" t="s">
        <v>256</v>
      </c>
      <c r="C223" t="s">
        <v>67</v>
      </c>
      <c r="D223">
        <v>2016</v>
      </c>
      <c r="E223" t="s">
        <v>13</v>
      </c>
      <c r="F223" t="s">
        <v>110</v>
      </c>
      <c r="G223">
        <v>0.28000000000000003</v>
      </c>
      <c r="H223">
        <v>3.75</v>
      </c>
      <c r="I223">
        <v>0.06</v>
      </c>
      <c r="J223">
        <v>0.69</v>
      </c>
      <c r="K223">
        <v>4.7699999999999996</v>
      </c>
    </row>
    <row r="224" spans="1:11" x14ac:dyDescent="0.3">
      <c r="A224">
        <v>223</v>
      </c>
      <c r="B224" t="s">
        <v>204</v>
      </c>
      <c r="C224" t="s">
        <v>39</v>
      </c>
      <c r="D224">
        <v>2011</v>
      </c>
      <c r="E224" t="s">
        <v>43</v>
      </c>
      <c r="F224" t="s">
        <v>205</v>
      </c>
      <c r="G224">
        <v>2.99</v>
      </c>
      <c r="H224">
        <v>1.31</v>
      </c>
      <c r="I224">
        <v>0.04</v>
      </c>
      <c r="J224">
        <v>0.41</v>
      </c>
      <c r="K224">
        <v>4.76</v>
      </c>
    </row>
    <row r="225" spans="1:11" x14ac:dyDescent="0.3">
      <c r="A225">
        <v>224</v>
      </c>
      <c r="B225" t="s">
        <v>257</v>
      </c>
      <c r="C225" t="s">
        <v>86</v>
      </c>
      <c r="D225">
        <v>2000</v>
      </c>
      <c r="E225" t="s">
        <v>43</v>
      </c>
      <c r="F225" t="s">
        <v>127</v>
      </c>
      <c r="G225">
        <v>2.36</v>
      </c>
      <c r="H225">
        <v>2.1</v>
      </c>
      <c r="I225">
        <v>0.02</v>
      </c>
      <c r="J225">
        <v>0.25</v>
      </c>
      <c r="K225">
        <v>4.7300000000000004</v>
      </c>
    </row>
    <row r="226" spans="1:11" x14ac:dyDescent="0.3">
      <c r="A226">
        <v>225</v>
      </c>
      <c r="B226" t="s">
        <v>258</v>
      </c>
      <c r="C226" t="s">
        <v>46</v>
      </c>
      <c r="D226">
        <v>2003</v>
      </c>
      <c r="E226" t="s">
        <v>18</v>
      </c>
      <c r="F226" t="s">
        <v>259</v>
      </c>
      <c r="G226">
        <v>1.73</v>
      </c>
      <c r="H226">
        <v>2.19</v>
      </c>
      <c r="I226">
        <v>0</v>
      </c>
      <c r="J226">
        <v>0.79</v>
      </c>
      <c r="K226">
        <v>4.7</v>
      </c>
    </row>
    <row r="227" spans="1:11" x14ac:dyDescent="0.3">
      <c r="A227">
        <v>226</v>
      </c>
      <c r="B227" t="s">
        <v>260</v>
      </c>
      <c r="C227" t="s">
        <v>86</v>
      </c>
      <c r="D227">
        <v>2000</v>
      </c>
      <c r="E227" t="s">
        <v>13</v>
      </c>
      <c r="F227" t="s">
        <v>61</v>
      </c>
      <c r="G227">
        <v>3.05</v>
      </c>
      <c r="H227">
        <v>1.41</v>
      </c>
      <c r="I227">
        <v>0.02</v>
      </c>
      <c r="J227">
        <v>0.2</v>
      </c>
      <c r="K227">
        <v>4.68</v>
      </c>
    </row>
    <row r="228" spans="1:11" x14ac:dyDescent="0.3">
      <c r="A228">
        <v>227</v>
      </c>
      <c r="B228" t="s">
        <v>261</v>
      </c>
      <c r="C228" t="s">
        <v>12</v>
      </c>
      <c r="D228">
        <v>2008</v>
      </c>
      <c r="E228" t="s">
        <v>33</v>
      </c>
      <c r="F228" t="s">
        <v>14</v>
      </c>
      <c r="G228">
        <v>1.87</v>
      </c>
      <c r="H228">
        <v>1.1200000000000001</v>
      </c>
      <c r="I228">
        <v>1.32</v>
      </c>
      <c r="J228">
        <v>0.37</v>
      </c>
      <c r="K228">
        <v>4.68</v>
      </c>
    </row>
    <row r="229" spans="1:11" x14ac:dyDescent="0.3">
      <c r="A229">
        <v>228</v>
      </c>
      <c r="B229" t="s">
        <v>262</v>
      </c>
      <c r="C229" t="s">
        <v>46</v>
      </c>
      <c r="D229">
        <v>2002</v>
      </c>
      <c r="E229" t="s">
        <v>43</v>
      </c>
      <c r="F229" t="s">
        <v>110</v>
      </c>
      <c r="G229">
        <v>1.94</v>
      </c>
      <c r="H229">
        <v>1.95</v>
      </c>
      <c r="I229">
        <v>0.08</v>
      </c>
      <c r="J229">
        <v>0.7</v>
      </c>
      <c r="K229">
        <v>4.67</v>
      </c>
    </row>
    <row r="230" spans="1:11" x14ac:dyDescent="0.3">
      <c r="A230">
        <v>229</v>
      </c>
      <c r="B230" t="s">
        <v>263</v>
      </c>
      <c r="C230" t="s">
        <v>39</v>
      </c>
      <c r="D230">
        <v>2011</v>
      </c>
      <c r="E230" t="s">
        <v>18</v>
      </c>
      <c r="F230" t="s">
        <v>40</v>
      </c>
      <c r="G230">
        <v>2.08</v>
      </c>
      <c r="H230">
        <v>2.04</v>
      </c>
      <c r="I230">
        <v>0.06</v>
      </c>
      <c r="J230">
        <v>0.47</v>
      </c>
      <c r="K230">
        <v>4.6399999999999997</v>
      </c>
    </row>
    <row r="231" spans="1:11" x14ac:dyDescent="0.3">
      <c r="A231">
        <v>230</v>
      </c>
      <c r="B231" t="s">
        <v>264</v>
      </c>
      <c r="C231" t="s">
        <v>86</v>
      </c>
      <c r="D231">
        <v>1996</v>
      </c>
      <c r="E231" t="s">
        <v>43</v>
      </c>
      <c r="F231" t="s">
        <v>222</v>
      </c>
      <c r="G231">
        <v>2.29</v>
      </c>
      <c r="H231">
        <v>1.97</v>
      </c>
      <c r="I231">
        <v>0.13</v>
      </c>
      <c r="J231">
        <v>0.24</v>
      </c>
      <c r="K231">
        <v>4.63</v>
      </c>
    </row>
    <row r="232" spans="1:11" x14ac:dyDescent="0.3">
      <c r="A232">
        <v>231</v>
      </c>
      <c r="B232" t="s">
        <v>246</v>
      </c>
      <c r="C232" t="s">
        <v>12</v>
      </c>
      <c r="D232">
        <v>2007</v>
      </c>
      <c r="E232" t="s">
        <v>28</v>
      </c>
      <c r="F232" t="s">
        <v>61</v>
      </c>
      <c r="G232">
        <v>3.06</v>
      </c>
      <c r="H232">
        <v>1.1200000000000001</v>
      </c>
      <c r="I232">
        <v>0</v>
      </c>
      <c r="J232">
        <v>0.44</v>
      </c>
      <c r="K232">
        <v>4.62</v>
      </c>
    </row>
    <row r="233" spans="1:11" x14ac:dyDescent="0.3">
      <c r="A233">
        <v>232</v>
      </c>
      <c r="B233" t="s">
        <v>265</v>
      </c>
      <c r="C233" t="s">
        <v>48</v>
      </c>
      <c r="D233">
        <v>1991</v>
      </c>
      <c r="E233" t="s">
        <v>43</v>
      </c>
      <c r="F233" t="s">
        <v>14</v>
      </c>
      <c r="G233">
        <v>2.42</v>
      </c>
      <c r="H233">
        <v>0.91</v>
      </c>
      <c r="I233">
        <v>1.1499999999999999</v>
      </c>
      <c r="J233">
        <v>0.13</v>
      </c>
      <c r="K233">
        <v>4.6100000000000003</v>
      </c>
    </row>
    <row r="234" spans="1:11" x14ac:dyDescent="0.3">
      <c r="A234">
        <v>233</v>
      </c>
      <c r="B234" t="s">
        <v>266</v>
      </c>
      <c r="C234" t="s">
        <v>146</v>
      </c>
      <c r="D234">
        <v>2002</v>
      </c>
      <c r="E234" t="s">
        <v>43</v>
      </c>
      <c r="F234" t="s">
        <v>14</v>
      </c>
      <c r="G234">
        <v>2.6</v>
      </c>
      <c r="H234">
        <v>0.99</v>
      </c>
      <c r="I234">
        <v>0.89</v>
      </c>
      <c r="J234">
        <v>0.13</v>
      </c>
      <c r="K234">
        <v>4.5999999999999996</v>
      </c>
    </row>
    <row r="235" spans="1:11" x14ac:dyDescent="0.3">
      <c r="A235">
        <v>234</v>
      </c>
      <c r="B235" t="s">
        <v>267</v>
      </c>
      <c r="C235" t="s">
        <v>12</v>
      </c>
      <c r="D235">
        <v>2009</v>
      </c>
      <c r="E235" t="s">
        <v>13</v>
      </c>
      <c r="F235" t="s">
        <v>121</v>
      </c>
      <c r="G235">
        <v>1.89</v>
      </c>
      <c r="H235">
        <v>1.99</v>
      </c>
      <c r="I235">
        <v>0.22</v>
      </c>
      <c r="J235">
        <v>0.48</v>
      </c>
      <c r="K235">
        <v>4.58</v>
      </c>
    </row>
    <row r="236" spans="1:11" x14ac:dyDescent="0.3">
      <c r="A236">
        <v>235</v>
      </c>
      <c r="B236" t="s">
        <v>268</v>
      </c>
      <c r="C236" t="s">
        <v>65</v>
      </c>
      <c r="D236">
        <v>2013</v>
      </c>
      <c r="E236" t="s">
        <v>43</v>
      </c>
      <c r="F236" t="s">
        <v>14</v>
      </c>
      <c r="G236">
        <v>1.78</v>
      </c>
      <c r="H236">
        <v>1.39</v>
      </c>
      <c r="I236">
        <v>1.1000000000000001</v>
      </c>
      <c r="J236">
        <v>0.3</v>
      </c>
      <c r="K236">
        <v>4.58</v>
      </c>
    </row>
    <row r="237" spans="1:11" x14ac:dyDescent="0.3">
      <c r="A237">
        <v>236</v>
      </c>
      <c r="B237" t="s">
        <v>269</v>
      </c>
      <c r="C237" t="s">
        <v>148</v>
      </c>
      <c r="D237">
        <v>2015</v>
      </c>
      <c r="E237" t="s">
        <v>31</v>
      </c>
      <c r="F237" t="s">
        <v>14</v>
      </c>
      <c r="G237">
        <v>1.55</v>
      </c>
      <c r="H237">
        <v>1.1499999999999999</v>
      </c>
      <c r="I237">
        <v>1.44</v>
      </c>
      <c r="J237">
        <v>0.43</v>
      </c>
      <c r="K237">
        <v>4.57</v>
      </c>
    </row>
    <row r="238" spans="1:11" x14ac:dyDescent="0.3">
      <c r="A238">
        <v>237</v>
      </c>
      <c r="B238" t="s">
        <v>188</v>
      </c>
      <c r="C238" t="s">
        <v>67</v>
      </c>
      <c r="D238">
        <v>2014</v>
      </c>
      <c r="E238" t="s">
        <v>43</v>
      </c>
      <c r="F238" t="s">
        <v>59</v>
      </c>
      <c r="G238">
        <v>1.78</v>
      </c>
      <c r="H238">
        <v>1.87</v>
      </c>
      <c r="I238">
        <v>7.0000000000000007E-2</v>
      </c>
      <c r="J238">
        <v>0.82</v>
      </c>
      <c r="K238">
        <v>4.55</v>
      </c>
    </row>
    <row r="239" spans="1:11" x14ac:dyDescent="0.3">
      <c r="A239">
        <v>238</v>
      </c>
      <c r="B239" t="s">
        <v>246</v>
      </c>
      <c r="C239" t="s">
        <v>39</v>
      </c>
      <c r="D239">
        <v>2007</v>
      </c>
      <c r="E239" t="s">
        <v>28</v>
      </c>
      <c r="F239" t="s">
        <v>61</v>
      </c>
      <c r="G239">
        <v>3.19</v>
      </c>
      <c r="H239">
        <v>0.92</v>
      </c>
      <c r="I239">
        <v>0.01</v>
      </c>
      <c r="J239">
        <v>0.42</v>
      </c>
      <c r="K239">
        <v>4.53</v>
      </c>
    </row>
    <row r="240" spans="1:11" x14ac:dyDescent="0.3">
      <c r="A240">
        <v>239</v>
      </c>
      <c r="B240" t="s">
        <v>270</v>
      </c>
      <c r="C240" t="s">
        <v>46</v>
      </c>
      <c r="D240">
        <v>2004</v>
      </c>
      <c r="E240" t="s">
        <v>13</v>
      </c>
      <c r="F240" t="s">
        <v>110</v>
      </c>
      <c r="G240">
        <v>4.18</v>
      </c>
      <c r="H240">
        <v>0.26</v>
      </c>
      <c r="I240">
        <v>0.01</v>
      </c>
      <c r="J240">
        <v>0.08</v>
      </c>
      <c r="K240">
        <v>4.53</v>
      </c>
    </row>
    <row r="241" spans="1:11" x14ac:dyDescent="0.3">
      <c r="A241">
        <v>240</v>
      </c>
      <c r="B241" t="s">
        <v>271</v>
      </c>
      <c r="C241">
        <v>2600</v>
      </c>
      <c r="D241">
        <v>1981</v>
      </c>
      <c r="E241" t="s">
        <v>2</v>
      </c>
      <c r="F241" t="s">
        <v>61</v>
      </c>
      <c r="G241">
        <v>4.21</v>
      </c>
      <c r="H241">
        <v>0.24</v>
      </c>
      <c r="I241">
        <v>0</v>
      </c>
      <c r="J241">
        <v>0.05</v>
      </c>
      <c r="K241">
        <v>4.5</v>
      </c>
    </row>
    <row r="242" spans="1:11" x14ac:dyDescent="0.3">
      <c r="A242">
        <v>241</v>
      </c>
      <c r="B242" t="s">
        <v>272</v>
      </c>
      <c r="C242" t="s">
        <v>46</v>
      </c>
      <c r="D242">
        <v>2006</v>
      </c>
      <c r="E242" t="s">
        <v>13</v>
      </c>
      <c r="F242" t="s">
        <v>110</v>
      </c>
      <c r="G242">
        <v>3.63</v>
      </c>
      <c r="H242">
        <v>0.24</v>
      </c>
      <c r="I242">
        <v>0.01</v>
      </c>
      <c r="J242">
        <v>0.61</v>
      </c>
      <c r="K242">
        <v>4.49</v>
      </c>
    </row>
    <row r="243" spans="1:11" x14ac:dyDescent="0.3">
      <c r="A243">
        <v>242</v>
      </c>
      <c r="B243" t="s">
        <v>273</v>
      </c>
      <c r="C243" t="s">
        <v>46</v>
      </c>
      <c r="D243">
        <v>2002</v>
      </c>
      <c r="E243" t="s">
        <v>43</v>
      </c>
      <c r="F243" t="s">
        <v>61</v>
      </c>
      <c r="G243">
        <v>2.71</v>
      </c>
      <c r="H243">
        <v>1.51</v>
      </c>
      <c r="I243">
        <v>0.03</v>
      </c>
      <c r="J243">
        <v>0.23</v>
      </c>
      <c r="K243">
        <v>4.4800000000000004</v>
      </c>
    </row>
    <row r="244" spans="1:11" x14ac:dyDescent="0.3">
      <c r="A244">
        <v>243</v>
      </c>
      <c r="B244" t="s">
        <v>274</v>
      </c>
      <c r="C244" t="s">
        <v>86</v>
      </c>
      <c r="D244">
        <v>2000</v>
      </c>
      <c r="E244" t="s">
        <v>22</v>
      </c>
      <c r="F244" t="s">
        <v>275</v>
      </c>
      <c r="G244">
        <v>0.2</v>
      </c>
      <c r="H244">
        <v>0.14000000000000001</v>
      </c>
      <c r="I244">
        <v>4.0999999999999996</v>
      </c>
      <c r="J244">
        <v>0.02</v>
      </c>
      <c r="K244">
        <v>4.47</v>
      </c>
    </row>
    <row r="245" spans="1:11" x14ac:dyDescent="0.3">
      <c r="A245">
        <v>244</v>
      </c>
      <c r="B245" t="s">
        <v>276</v>
      </c>
      <c r="C245" t="s">
        <v>67</v>
      </c>
      <c r="D245">
        <v>2015</v>
      </c>
      <c r="E245" t="s">
        <v>43</v>
      </c>
      <c r="F245" t="s">
        <v>59</v>
      </c>
      <c r="G245">
        <v>1.96</v>
      </c>
      <c r="H245">
        <v>1.69</v>
      </c>
      <c r="I245">
        <v>0.08</v>
      </c>
      <c r="J245">
        <v>0.74</v>
      </c>
      <c r="K245">
        <v>4.47</v>
      </c>
    </row>
    <row r="246" spans="1:11" x14ac:dyDescent="0.3">
      <c r="A246">
        <v>245</v>
      </c>
      <c r="B246" t="s">
        <v>132</v>
      </c>
      <c r="C246" t="s">
        <v>42</v>
      </c>
      <c r="D246">
        <v>2014</v>
      </c>
      <c r="E246" t="s">
        <v>31</v>
      </c>
      <c r="F246" t="s">
        <v>61</v>
      </c>
      <c r="G246">
        <v>1.54</v>
      </c>
      <c r="H246">
        <v>1.94</v>
      </c>
      <c r="I246">
        <v>0.19</v>
      </c>
      <c r="J246">
        <v>0.77</v>
      </c>
      <c r="K246">
        <v>4.45</v>
      </c>
    </row>
    <row r="247" spans="1:11" x14ac:dyDescent="0.3">
      <c r="A247">
        <v>246</v>
      </c>
      <c r="B247" t="s">
        <v>277</v>
      </c>
      <c r="C247" t="s">
        <v>46</v>
      </c>
      <c r="D247">
        <v>2005</v>
      </c>
      <c r="E247" t="s">
        <v>43</v>
      </c>
      <c r="F247" t="s">
        <v>59</v>
      </c>
      <c r="G247">
        <v>2.71</v>
      </c>
      <c r="H247">
        <v>1.29</v>
      </c>
      <c r="I247">
        <v>0.02</v>
      </c>
      <c r="J247">
        <v>0.43</v>
      </c>
      <c r="K247">
        <v>4.45</v>
      </c>
    </row>
    <row r="248" spans="1:11" x14ac:dyDescent="0.3">
      <c r="A248">
        <v>247</v>
      </c>
      <c r="B248" t="s">
        <v>278</v>
      </c>
      <c r="C248" t="s">
        <v>148</v>
      </c>
      <c r="D248">
        <v>2012</v>
      </c>
      <c r="E248" t="s">
        <v>28</v>
      </c>
      <c r="F248" t="s">
        <v>14</v>
      </c>
      <c r="G248">
        <v>2.5499999999999998</v>
      </c>
      <c r="H248">
        <v>1.1100000000000001</v>
      </c>
      <c r="I248">
        <v>0.46</v>
      </c>
      <c r="J248">
        <v>0.33</v>
      </c>
      <c r="K248">
        <v>4.4400000000000004</v>
      </c>
    </row>
    <row r="249" spans="1:11" x14ac:dyDescent="0.3">
      <c r="A249">
        <v>248</v>
      </c>
      <c r="B249" t="s">
        <v>279</v>
      </c>
      <c r="C249" t="s">
        <v>12</v>
      </c>
      <c r="D249">
        <v>2010</v>
      </c>
      <c r="E249" t="s">
        <v>28</v>
      </c>
      <c r="F249" t="s">
        <v>92</v>
      </c>
      <c r="G249">
        <v>2.67</v>
      </c>
      <c r="H249">
        <v>1.35</v>
      </c>
      <c r="I249">
        <v>0.01</v>
      </c>
      <c r="J249">
        <v>0.39</v>
      </c>
      <c r="K249">
        <v>4.42</v>
      </c>
    </row>
    <row r="250" spans="1:11" x14ac:dyDescent="0.3">
      <c r="A250">
        <v>249</v>
      </c>
      <c r="B250" t="s">
        <v>280</v>
      </c>
      <c r="C250" t="s">
        <v>46</v>
      </c>
      <c r="D250">
        <v>2001</v>
      </c>
      <c r="E250" t="s">
        <v>13</v>
      </c>
      <c r="F250" t="s">
        <v>61</v>
      </c>
      <c r="G250">
        <v>2.66</v>
      </c>
      <c r="H250">
        <v>1.29</v>
      </c>
      <c r="I250">
        <v>0.01</v>
      </c>
      <c r="J250">
        <v>0.46</v>
      </c>
      <c r="K250">
        <v>4.41</v>
      </c>
    </row>
    <row r="251" spans="1:11" x14ac:dyDescent="0.3">
      <c r="A251">
        <v>250</v>
      </c>
      <c r="B251" t="s">
        <v>281</v>
      </c>
      <c r="C251" t="s">
        <v>46</v>
      </c>
      <c r="D251">
        <v>2006</v>
      </c>
      <c r="E251" t="s">
        <v>13</v>
      </c>
      <c r="F251" t="s">
        <v>183</v>
      </c>
      <c r="G251">
        <v>0.1</v>
      </c>
      <c r="H251">
        <v>2.39</v>
      </c>
      <c r="I251">
        <v>1.05</v>
      </c>
      <c r="J251">
        <v>0.86</v>
      </c>
      <c r="K251">
        <v>4.3899999999999997</v>
      </c>
    </row>
    <row r="252" spans="1:11" x14ac:dyDescent="0.3">
      <c r="A252">
        <v>251</v>
      </c>
      <c r="B252" t="s">
        <v>282</v>
      </c>
      <c r="C252" t="s">
        <v>39</v>
      </c>
      <c r="D252">
        <v>2006</v>
      </c>
      <c r="E252" t="s">
        <v>22</v>
      </c>
      <c r="F252" t="s">
        <v>44</v>
      </c>
      <c r="G252">
        <v>2.82</v>
      </c>
      <c r="H252">
        <v>1.05</v>
      </c>
      <c r="I252">
        <v>0.13</v>
      </c>
      <c r="J252">
        <v>0.4</v>
      </c>
      <c r="K252">
        <v>4.3899999999999997</v>
      </c>
    </row>
    <row r="253" spans="1:11" x14ac:dyDescent="0.3">
      <c r="A253">
        <v>252</v>
      </c>
      <c r="B253" t="s">
        <v>283</v>
      </c>
      <c r="C253" t="s">
        <v>16</v>
      </c>
      <c r="D253">
        <v>1987</v>
      </c>
      <c r="E253" t="s">
        <v>83</v>
      </c>
      <c r="F253" t="s">
        <v>14</v>
      </c>
      <c r="G253">
        <v>2.19</v>
      </c>
      <c r="H253">
        <v>0.5</v>
      </c>
      <c r="I253">
        <v>1.61</v>
      </c>
      <c r="J253">
        <v>0.08</v>
      </c>
      <c r="K253">
        <v>4.38</v>
      </c>
    </row>
    <row r="254" spans="1:11" x14ac:dyDescent="0.3">
      <c r="A254">
        <v>253</v>
      </c>
      <c r="B254" t="s">
        <v>284</v>
      </c>
      <c r="C254" t="s">
        <v>46</v>
      </c>
      <c r="D254">
        <v>2005</v>
      </c>
      <c r="E254" t="s">
        <v>18</v>
      </c>
      <c r="F254" t="s">
        <v>110</v>
      </c>
      <c r="G254">
        <v>2.0299999999999998</v>
      </c>
      <c r="H254">
        <v>1.79</v>
      </c>
      <c r="I254">
        <v>0.08</v>
      </c>
      <c r="J254">
        <v>0.47</v>
      </c>
      <c r="K254">
        <v>4.37</v>
      </c>
    </row>
    <row r="255" spans="1:11" x14ac:dyDescent="0.3">
      <c r="A255">
        <v>254</v>
      </c>
      <c r="B255" t="s">
        <v>285</v>
      </c>
      <c r="C255" t="s">
        <v>42</v>
      </c>
      <c r="D255">
        <v>2006</v>
      </c>
      <c r="E255" t="s">
        <v>31</v>
      </c>
      <c r="F255" t="s">
        <v>59</v>
      </c>
      <c r="G255">
        <v>1.73</v>
      </c>
      <c r="H255">
        <v>1.73</v>
      </c>
      <c r="I255">
        <v>0.14000000000000001</v>
      </c>
      <c r="J255">
        <v>0.75</v>
      </c>
      <c r="K255">
        <v>4.3499999999999996</v>
      </c>
    </row>
    <row r="256" spans="1:11" x14ac:dyDescent="0.3">
      <c r="A256">
        <v>255</v>
      </c>
      <c r="B256" t="s">
        <v>286</v>
      </c>
      <c r="C256" t="s">
        <v>185</v>
      </c>
      <c r="D256">
        <v>1991</v>
      </c>
      <c r="E256" t="s">
        <v>2</v>
      </c>
      <c r="F256" t="s">
        <v>121</v>
      </c>
      <c r="G256">
        <v>3.03</v>
      </c>
      <c r="H256">
        <v>0.91</v>
      </c>
      <c r="I256">
        <v>0.26</v>
      </c>
      <c r="J256">
        <v>0.13</v>
      </c>
      <c r="K256">
        <v>4.34</v>
      </c>
    </row>
    <row r="257" spans="1:11" x14ac:dyDescent="0.3">
      <c r="A257">
        <v>256</v>
      </c>
      <c r="B257" t="s">
        <v>287</v>
      </c>
      <c r="C257" t="s">
        <v>46</v>
      </c>
      <c r="D257">
        <v>2005</v>
      </c>
      <c r="E257" t="s">
        <v>22</v>
      </c>
      <c r="F257" t="s">
        <v>191</v>
      </c>
      <c r="G257">
        <v>2.2000000000000002</v>
      </c>
      <c r="H257">
        <v>0.57999999999999996</v>
      </c>
      <c r="I257">
        <v>1.38</v>
      </c>
      <c r="J257">
        <v>0.17</v>
      </c>
      <c r="K257">
        <v>4.33</v>
      </c>
    </row>
    <row r="258" spans="1:11" x14ac:dyDescent="0.3">
      <c r="A258">
        <v>257</v>
      </c>
      <c r="B258" t="s">
        <v>152</v>
      </c>
      <c r="C258" t="s">
        <v>39</v>
      </c>
      <c r="D258">
        <v>2013</v>
      </c>
      <c r="E258" t="s">
        <v>13</v>
      </c>
      <c r="F258" t="s">
        <v>110</v>
      </c>
      <c r="G258">
        <v>0.92</v>
      </c>
      <c r="H258">
        <v>2.93</v>
      </c>
      <c r="I258">
        <v>0.01</v>
      </c>
      <c r="J258">
        <v>0.46</v>
      </c>
      <c r="K258">
        <v>4.3099999999999996</v>
      </c>
    </row>
    <row r="259" spans="1:11" x14ac:dyDescent="0.3">
      <c r="A259">
        <v>258</v>
      </c>
      <c r="B259" t="s">
        <v>132</v>
      </c>
      <c r="C259" t="s">
        <v>39</v>
      </c>
      <c r="D259">
        <v>2014</v>
      </c>
      <c r="E259" t="s">
        <v>31</v>
      </c>
      <c r="F259" t="s">
        <v>61</v>
      </c>
      <c r="G259">
        <v>2.75</v>
      </c>
      <c r="H259">
        <v>1.18</v>
      </c>
      <c r="I259">
        <v>0</v>
      </c>
      <c r="J259">
        <v>0.37</v>
      </c>
      <c r="K259">
        <v>4.3099999999999996</v>
      </c>
    </row>
    <row r="260" spans="1:11" x14ac:dyDescent="0.3">
      <c r="A260">
        <v>259</v>
      </c>
      <c r="B260" t="s">
        <v>288</v>
      </c>
      <c r="C260">
        <v>2600</v>
      </c>
      <c r="D260">
        <v>1980</v>
      </c>
      <c r="E260" t="s">
        <v>31</v>
      </c>
      <c r="F260" t="s">
        <v>127</v>
      </c>
      <c r="G260">
        <v>4</v>
      </c>
      <c r="H260">
        <v>0.26</v>
      </c>
      <c r="I260">
        <v>0</v>
      </c>
      <c r="J260">
        <v>0.05</v>
      </c>
      <c r="K260">
        <v>4.3099999999999996</v>
      </c>
    </row>
    <row r="261" spans="1:11" x14ac:dyDescent="0.3">
      <c r="A261">
        <v>260</v>
      </c>
      <c r="B261" t="s">
        <v>289</v>
      </c>
      <c r="C261" t="s">
        <v>39</v>
      </c>
      <c r="D261">
        <v>2008</v>
      </c>
      <c r="E261" t="s">
        <v>22</v>
      </c>
      <c r="F261" t="s">
        <v>40</v>
      </c>
      <c r="G261">
        <v>2.5099999999999998</v>
      </c>
      <c r="H261">
        <v>1.27</v>
      </c>
      <c r="I261">
        <v>0.11</v>
      </c>
      <c r="J261">
        <v>0.41</v>
      </c>
      <c r="K261">
        <v>4.3099999999999996</v>
      </c>
    </row>
    <row r="262" spans="1:11" x14ac:dyDescent="0.3">
      <c r="A262">
        <v>261</v>
      </c>
      <c r="B262" t="s">
        <v>290</v>
      </c>
      <c r="C262" t="s">
        <v>140</v>
      </c>
      <c r="D262">
        <v>2015</v>
      </c>
      <c r="E262" t="s">
        <v>31</v>
      </c>
      <c r="F262" t="s">
        <v>40</v>
      </c>
      <c r="G262">
        <v>2.64</v>
      </c>
      <c r="H262">
        <v>1.2</v>
      </c>
      <c r="I262">
        <v>0.03</v>
      </c>
      <c r="J262">
        <v>0.39</v>
      </c>
      <c r="K262">
        <v>4.26</v>
      </c>
    </row>
    <row r="263" spans="1:11" x14ac:dyDescent="0.3">
      <c r="A263">
        <v>262</v>
      </c>
      <c r="B263" t="s">
        <v>291</v>
      </c>
      <c r="C263" t="s">
        <v>148</v>
      </c>
      <c r="D263">
        <v>2013</v>
      </c>
      <c r="E263" t="s">
        <v>2</v>
      </c>
      <c r="F263" t="s">
        <v>14</v>
      </c>
      <c r="G263">
        <v>2.11</v>
      </c>
      <c r="H263">
        <v>1.1100000000000001</v>
      </c>
      <c r="I263">
        <v>0.72</v>
      </c>
      <c r="J263">
        <v>0.3</v>
      </c>
      <c r="K263">
        <v>4.25</v>
      </c>
    </row>
    <row r="264" spans="1:11" x14ac:dyDescent="0.3">
      <c r="A264">
        <v>263</v>
      </c>
      <c r="B264" t="s">
        <v>292</v>
      </c>
      <c r="C264" t="s">
        <v>42</v>
      </c>
      <c r="D264">
        <v>2009</v>
      </c>
      <c r="E264" t="s">
        <v>43</v>
      </c>
      <c r="F264" t="s">
        <v>222</v>
      </c>
      <c r="G264">
        <v>2.23</v>
      </c>
      <c r="H264">
        <v>1.34</v>
      </c>
      <c r="I264">
        <v>7.0000000000000007E-2</v>
      </c>
      <c r="J264">
        <v>0.61</v>
      </c>
      <c r="K264">
        <v>4.25</v>
      </c>
    </row>
    <row r="265" spans="1:11" x14ac:dyDescent="0.3">
      <c r="A265">
        <v>264</v>
      </c>
      <c r="B265" t="s">
        <v>293</v>
      </c>
      <c r="C265" t="s">
        <v>42</v>
      </c>
      <c r="D265">
        <v>2011</v>
      </c>
      <c r="E265" t="s">
        <v>43</v>
      </c>
      <c r="F265" t="s">
        <v>92</v>
      </c>
      <c r="G265">
        <v>1.41</v>
      </c>
      <c r="H265">
        <v>2.02</v>
      </c>
      <c r="I265">
        <v>0.1</v>
      </c>
      <c r="J265">
        <v>0.72</v>
      </c>
      <c r="K265">
        <v>4.24</v>
      </c>
    </row>
    <row r="266" spans="1:11" x14ac:dyDescent="0.3">
      <c r="A266">
        <v>265</v>
      </c>
      <c r="B266" t="s">
        <v>294</v>
      </c>
      <c r="C266" t="s">
        <v>55</v>
      </c>
      <c r="D266">
        <v>2001</v>
      </c>
      <c r="E266" t="s">
        <v>28</v>
      </c>
      <c r="F266" t="s">
        <v>295</v>
      </c>
      <c r="G266">
        <v>3</v>
      </c>
      <c r="H266">
        <v>1.1100000000000001</v>
      </c>
      <c r="I266">
        <v>0.05</v>
      </c>
      <c r="J266">
        <v>7.0000000000000007E-2</v>
      </c>
      <c r="K266">
        <v>4.24</v>
      </c>
    </row>
    <row r="267" spans="1:11" x14ac:dyDescent="0.3">
      <c r="A267">
        <v>266</v>
      </c>
      <c r="B267" t="s">
        <v>296</v>
      </c>
      <c r="C267" t="s">
        <v>46</v>
      </c>
      <c r="D267">
        <v>2004</v>
      </c>
      <c r="E267" t="s">
        <v>43</v>
      </c>
      <c r="F267" t="s">
        <v>183</v>
      </c>
      <c r="G267">
        <v>1.46</v>
      </c>
      <c r="H267">
        <v>0</v>
      </c>
      <c r="I267">
        <v>0.83</v>
      </c>
      <c r="J267">
        <v>1.93</v>
      </c>
      <c r="K267">
        <v>4.2300000000000004</v>
      </c>
    </row>
    <row r="268" spans="1:11" x14ac:dyDescent="0.3">
      <c r="A268">
        <v>267</v>
      </c>
      <c r="B268" t="s">
        <v>297</v>
      </c>
      <c r="C268" t="s">
        <v>129</v>
      </c>
      <c r="D268">
        <v>2006</v>
      </c>
      <c r="E268" t="s">
        <v>2</v>
      </c>
      <c r="F268" t="s">
        <v>59</v>
      </c>
      <c r="G268">
        <v>2.4500000000000002</v>
      </c>
      <c r="H268">
        <v>1.02</v>
      </c>
      <c r="I268">
        <v>0</v>
      </c>
      <c r="J268">
        <v>0.75</v>
      </c>
      <c r="K268">
        <v>4.22</v>
      </c>
    </row>
    <row r="269" spans="1:11" x14ac:dyDescent="0.3">
      <c r="A269">
        <v>268</v>
      </c>
      <c r="B269" t="s">
        <v>298</v>
      </c>
      <c r="C269" t="s">
        <v>118</v>
      </c>
      <c r="D269">
        <v>1995</v>
      </c>
      <c r="E269" t="s">
        <v>211</v>
      </c>
      <c r="F269" t="s">
        <v>61</v>
      </c>
      <c r="G269">
        <v>1.7</v>
      </c>
      <c r="H269">
        <v>2.27</v>
      </c>
      <c r="I269">
        <v>0</v>
      </c>
      <c r="J269">
        <v>0.23</v>
      </c>
      <c r="K269">
        <v>4.21</v>
      </c>
    </row>
    <row r="270" spans="1:11" x14ac:dyDescent="0.3">
      <c r="A270">
        <v>269</v>
      </c>
      <c r="B270" t="s">
        <v>133</v>
      </c>
      <c r="C270" t="s">
        <v>65</v>
      </c>
      <c r="D270">
        <v>2011</v>
      </c>
      <c r="E270" t="s">
        <v>43</v>
      </c>
      <c r="F270" t="s">
        <v>14</v>
      </c>
      <c r="G270">
        <v>2.0299999999999998</v>
      </c>
      <c r="H270">
        <v>1.27</v>
      </c>
      <c r="I270">
        <v>0.62</v>
      </c>
      <c r="J270">
        <v>0.3</v>
      </c>
      <c r="K270">
        <v>4.21</v>
      </c>
    </row>
    <row r="271" spans="1:11" x14ac:dyDescent="0.3">
      <c r="A271">
        <v>270</v>
      </c>
      <c r="B271" t="s">
        <v>299</v>
      </c>
      <c r="C271" t="s">
        <v>46</v>
      </c>
      <c r="D271">
        <v>2005</v>
      </c>
      <c r="E271" t="s">
        <v>13</v>
      </c>
      <c r="F271" t="s">
        <v>110</v>
      </c>
      <c r="G271">
        <v>0.78</v>
      </c>
      <c r="H271">
        <v>2.5499999999999998</v>
      </c>
      <c r="I271">
        <v>0.04</v>
      </c>
      <c r="J271">
        <v>0.84</v>
      </c>
      <c r="K271">
        <v>4.21</v>
      </c>
    </row>
    <row r="272" spans="1:11" x14ac:dyDescent="0.3">
      <c r="A272">
        <v>271</v>
      </c>
      <c r="B272" t="s">
        <v>300</v>
      </c>
      <c r="C272" t="s">
        <v>46</v>
      </c>
      <c r="D272">
        <v>2003</v>
      </c>
      <c r="E272" t="s">
        <v>28</v>
      </c>
      <c r="F272" t="s">
        <v>59</v>
      </c>
      <c r="G272">
        <v>0.88</v>
      </c>
      <c r="H272">
        <v>2.2999999999999998</v>
      </c>
      <c r="I272">
        <v>0.2</v>
      </c>
      <c r="J272">
        <v>0.83</v>
      </c>
      <c r="K272">
        <v>4.2</v>
      </c>
    </row>
    <row r="273" spans="1:11" x14ac:dyDescent="0.3">
      <c r="A273">
        <v>272</v>
      </c>
      <c r="B273" t="s">
        <v>301</v>
      </c>
      <c r="C273" t="s">
        <v>67</v>
      </c>
      <c r="D273">
        <v>2016</v>
      </c>
      <c r="E273" t="s">
        <v>31</v>
      </c>
      <c r="F273" t="s">
        <v>59</v>
      </c>
      <c r="G273">
        <v>1.3</v>
      </c>
      <c r="H273">
        <v>2.0699999999999998</v>
      </c>
      <c r="I273">
        <v>0.18</v>
      </c>
      <c r="J273">
        <v>0.65</v>
      </c>
      <c r="K273">
        <v>4.2</v>
      </c>
    </row>
    <row r="274" spans="1:11" x14ac:dyDescent="0.3">
      <c r="A274">
        <v>273</v>
      </c>
      <c r="B274" t="s">
        <v>302</v>
      </c>
      <c r="C274" t="s">
        <v>42</v>
      </c>
      <c r="D274">
        <v>2007</v>
      </c>
      <c r="E274" t="s">
        <v>18</v>
      </c>
      <c r="F274" t="s">
        <v>59</v>
      </c>
      <c r="G274">
        <v>1.28</v>
      </c>
      <c r="H274">
        <v>1.83</v>
      </c>
      <c r="I274">
        <v>0.56999999999999995</v>
      </c>
      <c r="J274">
        <v>0.53</v>
      </c>
      <c r="K274">
        <v>4.2</v>
      </c>
    </row>
    <row r="275" spans="1:11" x14ac:dyDescent="0.3">
      <c r="A275">
        <v>274</v>
      </c>
      <c r="B275" t="s">
        <v>293</v>
      </c>
      <c r="C275" t="s">
        <v>39</v>
      </c>
      <c r="D275">
        <v>2011</v>
      </c>
      <c r="E275" t="s">
        <v>43</v>
      </c>
      <c r="F275" t="s">
        <v>92</v>
      </c>
      <c r="G275">
        <v>2.25</v>
      </c>
      <c r="H275">
        <v>1.47</v>
      </c>
      <c r="I275">
        <v>0.04</v>
      </c>
      <c r="J275">
        <v>0.43</v>
      </c>
      <c r="K275">
        <v>4.1900000000000004</v>
      </c>
    </row>
    <row r="276" spans="1:11" x14ac:dyDescent="0.3">
      <c r="A276">
        <v>275</v>
      </c>
      <c r="B276" t="s">
        <v>303</v>
      </c>
      <c r="C276" t="s">
        <v>42</v>
      </c>
      <c r="D276">
        <v>2009</v>
      </c>
      <c r="E276" t="s">
        <v>72</v>
      </c>
      <c r="F276" t="s">
        <v>175</v>
      </c>
      <c r="G276">
        <v>2.02</v>
      </c>
      <c r="H276">
        <v>1.06</v>
      </c>
      <c r="I276">
        <v>0.57999999999999996</v>
      </c>
      <c r="J276">
        <v>0.53</v>
      </c>
      <c r="K276">
        <v>4.1900000000000004</v>
      </c>
    </row>
    <row r="277" spans="1:11" x14ac:dyDescent="0.3">
      <c r="A277">
        <v>276</v>
      </c>
      <c r="B277" t="s">
        <v>161</v>
      </c>
      <c r="C277" t="s">
        <v>39</v>
      </c>
      <c r="D277">
        <v>2011</v>
      </c>
      <c r="E277" t="s">
        <v>13</v>
      </c>
      <c r="F277" t="s">
        <v>110</v>
      </c>
      <c r="G277">
        <v>0.84</v>
      </c>
      <c r="H277">
        <v>2.79</v>
      </c>
      <c r="I277">
        <v>0.02</v>
      </c>
      <c r="J277">
        <v>0.53</v>
      </c>
      <c r="K277">
        <v>4.1900000000000004</v>
      </c>
    </row>
    <row r="278" spans="1:11" x14ac:dyDescent="0.3">
      <c r="A278">
        <v>277</v>
      </c>
      <c r="B278" t="s">
        <v>304</v>
      </c>
      <c r="C278" t="s">
        <v>16</v>
      </c>
      <c r="D278">
        <v>1989</v>
      </c>
      <c r="E278" t="s">
        <v>43</v>
      </c>
      <c r="F278" t="s">
        <v>305</v>
      </c>
      <c r="G278">
        <v>3.38</v>
      </c>
      <c r="H278">
        <v>0.44</v>
      </c>
      <c r="I278">
        <v>0.31</v>
      </c>
      <c r="J278">
        <v>0.04</v>
      </c>
      <c r="K278">
        <v>4.17</v>
      </c>
    </row>
    <row r="279" spans="1:11" x14ac:dyDescent="0.3">
      <c r="A279">
        <v>278</v>
      </c>
      <c r="B279" t="s">
        <v>306</v>
      </c>
      <c r="C279" t="s">
        <v>16</v>
      </c>
      <c r="D279">
        <v>1984</v>
      </c>
      <c r="E279" t="s">
        <v>18</v>
      </c>
      <c r="F279" t="s">
        <v>14</v>
      </c>
      <c r="G279">
        <v>2.04</v>
      </c>
      <c r="H279">
        <v>0.48</v>
      </c>
      <c r="I279">
        <v>1.57</v>
      </c>
      <c r="J279">
        <v>7.0000000000000007E-2</v>
      </c>
      <c r="K279">
        <v>4.16</v>
      </c>
    </row>
    <row r="280" spans="1:11" x14ac:dyDescent="0.3">
      <c r="A280">
        <v>279</v>
      </c>
      <c r="B280" t="s">
        <v>307</v>
      </c>
      <c r="C280" t="s">
        <v>86</v>
      </c>
      <c r="D280">
        <v>1997</v>
      </c>
      <c r="E280" t="s">
        <v>43</v>
      </c>
      <c r="F280" t="s">
        <v>308</v>
      </c>
      <c r="G280">
        <v>3.79</v>
      </c>
      <c r="H280">
        <v>0.27</v>
      </c>
      <c r="I280">
        <v>0</v>
      </c>
      <c r="J280">
        <v>0.11</v>
      </c>
      <c r="K280">
        <v>4.16</v>
      </c>
    </row>
    <row r="281" spans="1:11" x14ac:dyDescent="0.3">
      <c r="A281">
        <v>280</v>
      </c>
      <c r="B281" t="s">
        <v>309</v>
      </c>
      <c r="C281" t="s">
        <v>46</v>
      </c>
      <c r="D281">
        <v>2002</v>
      </c>
      <c r="E281" t="s">
        <v>13</v>
      </c>
      <c r="F281" t="s">
        <v>110</v>
      </c>
      <c r="G281">
        <v>3.36</v>
      </c>
      <c r="H281">
        <v>0.21</v>
      </c>
      <c r="I281">
        <v>0.01</v>
      </c>
      <c r="J281">
        <v>0.56000000000000005</v>
      </c>
      <c r="K281">
        <v>4.1399999999999997</v>
      </c>
    </row>
    <row r="282" spans="1:11" x14ac:dyDescent="0.3">
      <c r="A282">
        <v>281</v>
      </c>
      <c r="B282" t="s">
        <v>310</v>
      </c>
      <c r="C282" t="s">
        <v>67</v>
      </c>
      <c r="D282">
        <v>2014</v>
      </c>
      <c r="E282" t="s">
        <v>43</v>
      </c>
      <c r="F282" t="s">
        <v>92</v>
      </c>
      <c r="G282">
        <v>1.4</v>
      </c>
      <c r="H282">
        <v>1.86</v>
      </c>
      <c r="I282">
        <v>0.11</v>
      </c>
      <c r="J282">
        <v>0.77</v>
      </c>
      <c r="K282">
        <v>4.1399999999999997</v>
      </c>
    </row>
    <row r="283" spans="1:11" x14ac:dyDescent="0.3">
      <c r="A283">
        <v>282</v>
      </c>
      <c r="B283" t="s">
        <v>311</v>
      </c>
      <c r="C283" t="s">
        <v>118</v>
      </c>
      <c r="D283">
        <v>1997</v>
      </c>
      <c r="E283" t="s">
        <v>31</v>
      </c>
      <c r="F283" t="s">
        <v>259</v>
      </c>
      <c r="G283">
        <v>4.03</v>
      </c>
      <c r="H283">
        <v>0</v>
      </c>
      <c r="I283">
        <v>0.09</v>
      </c>
      <c r="J283">
        <v>0</v>
      </c>
      <c r="K283">
        <v>4.12</v>
      </c>
    </row>
    <row r="284" spans="1:11" x14ac:dyDescent="0.3">
      <c r="A284">
        <v>283</v>
      </c>
      <c r="B284" t="s">
        <v>312</v>
      </c>
      <c r="C284" t="s">
        <v>48</v>
      </c>
      <c r="D284">
        <v>1995</v>
      </c>
      <c r="E284" t="s">
        <v>2</v>
      </c>
      <c r="F284" t="s">
        <v>14</v>
      </c>
      <c r="G284">
        <v>1.65</v>
      </c>
      <c r="H284">
        <v>0.61</v>
      </c>
      <c r="I284">
        <v>1.76</v>
      </c>
      <c r="J284">
        <v>0.09</v>
      </c>
      <c r="K284">
        <v>4.12</v>
      </c>
    </row>
    <row r="285" spans="1:11" x14ac:dyDescent="0.3">
      <c r="A285">
        <v>284</v>
      </c>
      <c r="B285" t="s">
        <v>313</v>
      </c>
      <c r="C285" t="s">
        <v>46</v>
      </c>
      <c r="D285">
        <v>2006</v>
      </c>
      <c r="E285" t="s">
        <v>13</v>
      </c>
      <c r="F285" t="s">
        <v>110</v>
      </c>
      <c r="G285">
        <v>0.71</v>
      </c>
      <c r="H285">
        <v>2.48</v>
      </c>
      <c r="I285">
        <v>0.03</v>
      </c>
      <c r="J285">
        <v>0.89</v>
      </c>
      <c r="K285">
        <v>4.1100000000000003</v>
      </c>
    </row>
    <row r="286" spans="1:11" x14ac:dyDescent="0.3">
      <c r="A286">
        <v>285</v>
      </c>
      <c r="B286" t="s">
        <v>314</v>
      </c>
      <c r="C286" t="s">
        <v>12</v>
      </c>
      <c r="D286">
        <v>2011</v>
      </c>
      <c r="E286" t="s">
        <v>43</v>
      </c>
      <c r="F286" t="s">
        <v>14</v>
      </c>
      <c r="G286">
        <v>2.14</v>
      </c>
      <c r="H286">
        <v>1.2</v>
      </c>
      <c r="I286">
        <v>0.37</v>
      </c>
      <c r="J286">
        <v>0.4</v>
      </c>
      <c r="K286">
        <v>4.0999999999999996</v>
      </c>
    </row>
    <row r="287" spans="1:11" x14ac:dyDescent="0.3">
      <c r="A287">
        <v>286</v>
      </c>
      <c r="B287" t="s">
        <v>315</v>
      </c>
      <c r="C287" t="s">
        <v>48</v>
      </c>
      <c r="D287">
        <v>1992</v>
      </c>
      <c r="E287" t="s">
        <v>72</v>
      </c>
      <c r="F287" t="s">
        <v>175</v>
      </c>
      <c r="G287">
        <v>1.42</v>
      </c>
      <c r="H287">
        <v>0.51</v>
      </c>
      <c r="I287">
        <v>2.1</v>
      </c>
      <c r="J287">
        <v>7.0000000000000007E-2</v>
      </c>
      <c r="K287">
        <v>4.0999999999999996</v>
      </c>
    </row>
    <row r="288" spans="1:11" x14ac:dyDescent="0.3">
      <c r="A288">
        <v>287</v>
      </c>
      <c r="B288" t="s">
        <v>316</v>
      </c>
      <c r="C288" t="s">
        <v>12</v>
      </c>
      <c r="D288">
        <v>2007</v>
      </c>
      <c r="E288" t="s">
        <v>28</v>
      </c>
      <c r="F288" t="s">
        <v>44</v>
      </c>
      <c r="G288">
        <v>2.13</v>
      </c>
      <c r="H288">
        <v>1.5</v>
      </c>
      <c r="I288">
        <v>0.05</v>
      </c>
      <c r="J288">
        <v>0.42</v>
      </c>
      <c r="K288">
        <v>4.0999999999999996</v>
      </c>
    </row>
    <row r="289" spans="1:11" x14ac:dyDescent="0.3">
      <c r="A289">
        <v>288</v>
      </c>
      <c r="B289" t="s">
        <v>149</v>
      </c>
      <c r="C289" t="s">
        <v>140</v>
      </c>
      <c r="D289">
        <v>2015</v>
      </c>
      <c r="E289" t="s">
        <v>22</v>
      </c>
      <c r="F289" t="s">
        <v>107</v>
      </c>
      <c r="G289">
        <v>2.4500000000000002</v>
      </c>
      <c r="H289">
        <v>1.26</v>
      </c>
      <c r="I289">
        <v>0.01</v>
      </c>
      <c r="J289">
        <v>0.37</v>
      </c>
      <c r="K289">
        <v>4.09</v>
      </c>
    </row>
    <row r="290" spans="1:11" x14ac:dyDescent="0.3">
      <c r="A290">
        <v>289</v>
      </c>
      <c r="B290" t="s">
        <v>317</v>
      </c>
      <c r="C290" t="s">
        <v>118</v>
      </c>
      <c r="D290">
        <v>2007</v>
      </c>
      <c r="E290" t="s">
        <v>22</v>
      </c>
      <c r="F290" t="s">
        <v>61</v>
      </c>
      <c r="G290">
        <v>2.57</v>
      </c>
      <c r="H290">
        <v>1.52</v>
      </c>
      <c r="I290">
        <v>0</v>
      </c>
      <c r="J290">
        <v>0</v>
      </c>
      <c r="K290">
        <v>4.09</v>
      </c>
    </row>
    <row r="291" spans="1:11" x14ac:dyDescent="0.3">
      <c r="A291">
        <v>290</v>
      </c>
      <c r="B291" t="s">
        <v>318</v>
      </c>
      <c r="C291" t="s">
        <v>39</v>
      </c>
      <c r="D291">
        <v>2010</v>
      </c>
      <c r="E291" t="s">
        <v>22</v>
      </c>
      <c r="F291" t="s">
        <v>107</v>
      </c>
      <c r="G291">
        <v>2.65</v>
      </c>
      <c r="H291">
        <v>1.06</v>
      </c>
      <c r="I291">
        <v>0.04</v>
      </c>
      <c r="J291">
        <v>0.33</v>
      </c>
      <c r="K291">
        <v>4.08</v>
      </c>
    </row>
    <row r="292" spans="1:11" x14ac:dyDescent="0.3">
      <c r="A292">
        <v>291</v>
      </c>
      <c r="B292" t="s">
        <v>319</v>
      </c>
      <c r="C292" t="s">
        <v>46</v>
      </c>
      <c r="D292">
        <v>2007</v>
      </c>
      <c r="E292" t="s">
        <v>43</v>
      </c>
      <c r="F292" t="s">
        <v>59</v>
      </c>
      <c r="G292">
        <v>2.3199999999999998</v>
      </c>
      <c r="H292">
        <v>0.04</v>
      </c>
      <c r="I292">
        <v>0.04</v>
      </c>
      <c r="J292">
        <v>1.67</v>
      </c>
      <c r="K292">
        <v>4.07</v>
      </c>
    </row>
    <row r="293" spans="1:11" x14ac:dyDescent="0.3">
      <c r="A293">
        <v>292</v>
      </c>
      <c r="B293" t="s">
        <v>320</v>
      </c>
      <c r="C293" t="s">
        <v>39</v>
      </c>
      <c r="D293">
        <v>2007</v>
      </c>
      <c r="E293" t="s">
        <v>18</v>
      </c>
      <c r="F293" t="s">
        <v>40</v>
      </c>
      <c r="G293">
        <v>2.35</v>
      </c>
      <c r="H293">
        <v>1.28</v>
      </c>
      <c r="I293">
        <v>0.03</v>
      </c>
      <c r="J293">
        <v>0.41</v>
      </c>
      <c r="K293">
        <v>4.0599999999999996</v>
      </c>
    </row>
    <row r="294" spans="1:11" x14ac:dyDescent="0.3">
      <c r="A294">
        <v>293</v>
      </c>
      <c r="B294" t="s">
        <v>321</v>
      </c>
      <c r="C294" t="s">
        <v>46</v>
      </c>
      <c r="D294">
        <v>2005</v>
      </c>
      <c r="E294" t="s">
        <v>13</v>
      </c>
      <c r="F294" t="s">
        <v>183</v>
      </c>
      <c r="G294">
        <v>0.12</v>
      </c>
      <c r="H294">
        <v>2.2599999999999998</v>
      </c>
      <c r="I294">
        <v>0.9</v>
      </c>
      <c r="J294">
        <v>0.77</v>
      </c>
      <c r="K294">
        <v>4.0599999999999996</v>
      </c>
    </row>
    <row r="295" spans="1:11" x14ac:dyDescent="0.3">
      <c r="A295">
        <v>294</v>
      </c>
      <c r="B295" t="s">
        <v>322</v>
      </c>
      <c r="C295" t="s">
        <v>86</v>
      </c>
      <c r="D295">
        <v>1996</v>
      </c>
      <c r="E295" t="s">
        <v>28</v>
      </c>
      <c r="F295" t="s">
        <v>59</v>
      </c>
      <c r="G295">
        <v>2.2799999999999998</v>
      </c>
      <c r="H295">
        <v>1.55</v>
      </c>
      <c r="I295">
        <v>0.16</v>
      </c>
      <c r="J295">
        <v>0.06</v>
      </c>
      <c r="K295">
        <v>4.05</v>
      </c>
    </row>
    <row r="296" spans="1:11" x14ac:dyDescent="0.3">
      <c r="A296">
        <v>295</v>
      </c>
      <c r="B296" t="s">
        <v>323</v>
      </c>
      <c r="C296" t="s">
        <v>46</v>
      </c>
      <c r="D296">
        <v>2000</v>
      </c>
      <c r="E296" t="s">
        <v>72</v>
      </c>
      <c r="F296" t="s">
        <v>295</v>
      </c>
      <c r="G296">
        <v>1.68</v>
      </c>
      <c r="H296">
        <v>1.51</v>
      </c>
      <c r="I296">
        <v>0.51</v>
      </c>
      <c r="J296">
        <v>0.35</v>
      </c>
      <c r="K296">
        <v>4.05</v>
      </c>
    </row>
    <row r="297" spans="1:11" x14ac:dyDescent="0.3">
      <c r="A297">
        <v>296</v>
      </c>
      <c r="B297" t="s">
        <v>324</v>
      </c>
      <c r="C297" t="s">
        <v>67</v>
      </c>
      <c r="D297">
        <v>2014</v>
      </c>
      <c r="E297" t="s">
        <v>31</v>
      </c>
      <c r="F297" t="s">
        <v>92</v>
      </c>
      <c r="G297">
        <v>1.1200000000000001</v>
      </c>
      <c r="H297">
        <v>2.12</v>
      </c>
      <c r="I297">
        <v>0.1</v>
      </c>
      <c r="J297">
        <v>0.69</v>
      </c>
      <c r="K297">
        <v>4.03</v>
      </c>
    </row>
    <row r="298" spans="1:11" x14ac:dyDescent="0.3">
      <c r="A298">
        <v>297</v>
      </c>
      <c r="B298" t="s">
        <v>325</v>
      </c>
      <c r="C298" t="s">
        <v>78</v>
      </c>
      <c r="D298">
        <v>1997</v>
      </c>
      <c r="E298" t="s">
        <v>31</v>
      </c>
      <c r="F298" t="s">
        <v>14</v>
      </c>
      <c r="G298">
        <v>2.78</v>
      </c>
      <c r="H298">
        <v>0.57999999999999996</v>
      </c>
      <c r="I298">
        <v>0.64</v>
      </c>
      <c r="J298">
        <v>0.04</v>
      </c>
      <c r="K298">
        <v>4.03</v>
      </c>
    </row>
    <row r="299" spans="1:11" x14ac:dyDescent="0.3">
      <c r="A299">
        <v>298</v>
      </c>
      <c r="B299" t="s">
        <v>103</v>
      </c>
      <c r="C299" t="s">
        <v>67</v>
      </c>
      <c r="D299">
        <v>2014</v>
      </c>
      <c r="E299" t="s">
        <v>28</v>
      </c>
      <c r="F299" t="s">
        <v>189</v>
      </c>
      <c r="G299">
        <v>1.38</v>
      </c>
      <c r="H299">
        <v>1.87</v>
      </c>
      <c r="I299">
        <v>0.12</v>
      </c>
      <c r="J299">
        <v>0.65</v>
      </c>
      <c r="K299">
        <v>4.0199999999999996</v>
      </c>
    </row>
    <row r="300" spans="1:11" x14ac:dyDescent="0.3">
      <c r="A300">
        <v>299</v>
      </c>
      <c r="B300" t="s">
        <v>326</v>
      </c>
      <c r="C300" t="s">
        <v>16</v>
      </c>
      <c r="D300">
        <v>1984</v>
      </c>
      <c r="E300" t="s">
        <v>13</v>
      </c>
      <c r="F300" t="s">
        <v>14</v>
      </c>
      <c r="G300">
        <v>1.22</v>
      </c>
      <c r="H300">
        <v>0.28000000000000003</v>
      </c>
      <c r="I300">
        <v>2.46</v>
      </c>
      <c r="J300">
        <v>0.04</v>
      </c>
      <c r="K300">
        <v>4.01</v>
      </c>
    </row>
    <row r="301" spans="1:11" x14ac:dyDescent="0.3">
      <c r="A301">
        <v>300</v>
      </c>
      <c r="B301" t="s">
        <v>247</v>
      </c>
      <c r="C301" t="s">
        <v>42</v>
      </c>
      <c r="D301">
        <v>2008</v>
      </c>
      <c r="E301" t="s">
        <v>22</v>
      </c>
      <c r="F301" t="s">
        <v>107</v>
      </c>
      <c r="G301">
        <v>2.15</v>
      </c>
      <c r="H301">
        <v>1.2</v>
      </c>
      <c r="I301">
        <v>7.0000000000000007E-2</v>
      </c>
      <c r="J301">
        <v>0.59</v>
      </c>
      <c r="K301">
        <v>4.01</v>
      </c>
    </row>
    <row r="302" spans="1:11" x14ac:dyDescent="0.3">
      <c r="A302">
        <v>301</v>
      </c>
      <c r="B302" t="s">
        <v>327</v>
      </c>
      <c r="C302" t="s">
        <v>26</v>
      </c>
      <c r="D302">
        <v>2007</v>
      </c>
      <c r="E302" t="s">
        <v>24</v>
      </c>
      <c r="F302" t="s">
        <v>14</v>
      </c>
      <c r="G302">
        <v>0.92</v>
      </c>
      <c r="H302">
        <v>1.78</v>
      </c>
      <c r="I302">
        <v>0.92</v>
      </c>
      <c r="J302">
        <v>0.37</v>
      </c>
      <c r="K302">
        <v>4</v>
      </c>
    </row>
    <row r="303" spans="1:11" x14ac:dyDescent="0.3">
      <c r="A303">
        <v>302</v>
      </c>
      <c r="B303" t="s">
        <v>328</v>
      </c>
      <c r="C303" t="s">
        <v>39</v>
      </c>
      <c r="D303">
        <v>2009</v>
      </c>
      <c r="E303" t="s">
        <v>31</v>
      </c>
      <c r="F303" t="s">
        <v>110</v>
      </c>
      <c r="G303">
        <v>2.67</v>
      </c>
      <c r="H303">
        <v>0.89</v>
      </c>
      <c r="I303">
        <v>0.05</v>
      </c>
      <c r="J303">
        <v>0.37</v>
      </c>
      <c r="K303">
        <v>3.99</v>
      </c>
    </row>
    <row r="304" spans="1:11" x14ac:dyDescent="0.3">
      <c r="A304">
        <v>303</v>
      </c>
      <c r="B304" t="s">
        <v>329</v>
      </c>
      <c r="C304" t="s">
        <v>46</v>
      </c>
      <c r="D304">
        <v>2005</v>
      </c>
      <c r="E304" t="s">
        <v>28</v>
      </c>
      <c r="F304" t="s">
        <v>295</v>
      </c>
      <c r="G304">
        <v>2.08</v>
      </c>
      <c r="H304">
        <v>1.35</v>
      </c>
      <c r="I304">
        <v>0</v>
      </c>
      <c r="J304">
        <v>0.54</v>
      </c>
      <c r="K304">
        <v>3.98</v>
      </c>
    </row>
    <row r="305" spans="1:11" x14ac:dyDescent="0.3">
      <c r="A305">
        <v>304</v>
      </c>
      <c r="B305" t="s">
        <v>330</v>
      </c>
      <c r="C305" t="s">
        <v>12</v>
      </c>
      <c r="D305">
        <v>2009</v>
      </c>
      <c r="E305" t="s">
        <v>13</v>
      </c>
      <c r="F305" t="s">
        <v>110</v>
      </c>
      <c r="G305">
        <v>2.1</v>
      </c>
      <c r="H305">
        <v>1.36</v>
      </c>
      <c r="I305">
        <v>0.06</v>
      </c>
      <c r="J305">
        <v>0.4</v>
      </c>
      <c r="K305">
        <v>3.92</v>
      </c>
    </row>
    <row r="306" spans="1:11" x14ac:dyDescent="0.3">
      <c r="A306">
        <v>305</v>
      </c>
      <c r="B306" t="s">
        <v>331</v>
      </c>
      <c r="C306" t="s">
        <v>67</v>
      </c>
      <c r="D306">
        <v>2014</v>
      </c>
      <c r="E306" t="s">
        <v>43</v>
      </c>
      <c r="F306" t="s">
        <v>92</v>
      </c>
      <c r="G306">
        <v>1.18</v>
      </c>
      <c r="H306">
        <v>1.96</v>
      </c>
      <c r="I306">
        <v>0.08</v>
      </c>
      <c r="J306">
        <v>0.7</v>
      </c>
      <c r="K306">
        <v>3.92</v>
      </c>
    </row>
    <row r="307" spans="1:11" x14ac:dyDescent="0.3">
      <c r="A307">
        <v>306</v>
      </c>
      <c r="B307" t="s">
        <v>332</v>
      </c>
      <c r="C307" t="s">
        <v>21</v>
      </c>
      <c r="D307">
        <v>1994</v>
      </c>
      <c r="E307" t="s">
        <v>2</v>
      </c>
      <c r="F307" t="s">
        <v>14</v>
      </c>
      <c r="G307">
        <v>1.97</v>
      </c>
      <c r="H307">
        <v>0.76</v>
      </c>
      <c r="I307">
        <v>1.07</v>
      </c>
      <c r="J307">
        <v>0.11</v>
      </c>
      <c r="K307">
        <v>3.91</v>
      </c>
    </row>
    <row r="308" spans="1:11" x14ac:dyDescent="0.3">
      <c r="A308">
        <v>307</v>
      </c>
      <c r="B308" t="s">
        <v>333</v>
      </c>
      <c r="C308" t="s">
        <v>46</v>
      </c>
      <c r="D308">
        <v>2003</v>
      </c>
      <c r="E308" t="s">
        <v>13</v>
      </c>
      <c r="F308" t="s">
        <v>61</v>
      </c>
      <c r="G308">
        <v>2.29</v>
      </c>
      <c r="H308">
        <v>1.17</v>
      </c>
      <c r="I308">
        <v>0.01</v>
      </c>
      <c r="J308">
        <v>0.42</v>
      </c>
      <c r="K308">
        <v>3.9</v>
      </c>
    </row>
    <row r="309" spans="1:11" x14ac:dyDescent="0.3">
      <c r="A309">
        <v>308</v>
      </c>
      <c r="B309" t="s">
        <v>334</v>
      </c>
      <c r="C309" t="s">
        <v>42</v>
      </c>
      <c r="D309">
        <v>2013</v>
      </c>
      <c r="E309" t="s">
        <v>43</v>
      </c>
      <c r="F309" t="s">
        <v>92</v>
      </c>
      <c r="G309">
        <v>1.33</v>
      </c>
      <c r="H309">
        <v>1.71</v>
      </c>
      <c r="I309">
        <v>0.13</v>
      </c>
      <c r="J309">
        <v>0.73</v>
      </c>
      <c r="K309">
        <v>3.89</v>
      </c>
    </row>
    <row r="310" spans="1:11" x14ac:dyDescent="0.3">
      <c r="A310">
        <v>309</v>
      </c>
      <c r="B310" t="s">
        <v>335</v>
      </c>
      <c r="C310" t="s">
        <v>65</v>
      </c>
      <c r="D310">
        <v>2014</v>
      </c>
      <c r="E310" t="s">
        <v>22</v>
      </c>
      <c r="F310" t="s">
        <v>14</v>
      </c>
      <c r="G310">
        <v>0.67</v>
      </c>
      <c r="H310">
        <v>0.49</v>
      </c>
      <c r="I310">
        <v>2.62</v>
      </c>
      <c r="J310">
        <v>0.11</v>
      </c>
      <c r="K310">
        <v>3.89</v>
      </c>
    </row>
    <row r="311" spans="1:11" x14ac:dyDescent="0.3">
      <c r="A311">
        <v>310</v>
      </c>
      <c r="B311" t="s">
        <v>336</v>
      </c>
      <c r="C311" t="s">
        <v>42</v>
      </c>
      <c r="D311">
        <v>2006</v>
      </c>
      <c r="E311" t="s">
        <v>18</v>
      </c>
      <c r="F311" t="s">
        <v>59</v>
      </c>
      <c r="G311">
        <v>1.53</v>
      </c>
      <c r="H311">
        <v>1.61</v>
      </c>
      <c r="I311">
        <v>0.06</v>
      </c>
      <c r="J311">
        <v>0.67</v>
      </c>
      <c r="K311">
        <v>3.88</v>
      </c>
    </row>
    <row r="312" spans="1:11" x14ac:dyDescent="0.3">
      <c r="A312">
        <v>311</v>
      </c>
      <c r="B312" t="s">
        <v>106</v>
      </c>
      <c r="C312" t="s">
        <v>118</v>
      </c>
      <c r="D312">
        <v>2011</v>
      </c>
      <c r="E312" t="s">
        <v>22</v>
      </c>
      <c r="F312" t="s">
        <v>107</v>
      </c>
      <c r="G312">
        <v>1.1499999999999999</v>
      </c>
      <c r="H312">
        <v>2.09</v>
      </c>
      <c r="I312">
        <v>0</v>
      </c>
      <c r="J312">
        <v>0.64</v>
      </c>
      <c r="K312">
        <v>3.88</v>
      </c>
    </row>
    <row r="313" spans="1:11" x14ac:dyDescent="0.3">
      <c r="A313">
        <v>312</v>
      </c>
      <c r="B313" t="s">
        <v>337</v>
      </c>
      <c r="C313" t="s">
        <v>46</v>
      </c>
      <c r="D313">
        <v>2005</v>
      </c>
      <c r="E313" t="s">
        <v>72</v>
      </c>
      <c r="F313" t="s">
        <v>295</v>
      </c>
      <c r="G313">
        <v>0.93</v>
      </c>
      <c r="H313">
        <v>1.94</v>
      </c>
      <c r="I313">
        <v>0.31</v>
      </c>
      <c r="J313">
        <v>0.7</v>
      </c>
      <c r="K313">
        <v>3.87</v>
      </c>
    </row>
    <row r="314" spans="1:11" x14ac:dyDescent="0.3">
      <c r="A314">
        <v>313</v>
      </c>
      <c r="B314" t="s">
        <v>338</v>
      </c>
      <c r="C314" t="s">
        <v>16</v>
      </c>
      <c r="D314">
        <v>1988</v>
      </c>
      <c r="E314" t="s">
        <v>22</v>
      </c>
      <c r="F314" t="s">
        <v>275</v>
      </c>
      <c r="G314">
        <v>0.1</v>
      </c>
      <c r="H314">
        <v>0</v>
      </c>
      <c r="I314">
        <v>3.77</v>
      </c>
      <c r="J314">
        <v>0</v>
      </c>
      <c r="K314">
        <v>3.87</v>
      </c>
    </row>
    <row r="315" spans="1:11" x14ac:dyDescent="0.3">
      <c r="A315">
        <v>314</v>
      </c>
      <c r="B315" t="s">
        <v>339</v>
      </c>
      <c r="C315" t="s">
        <v>42</v>
      </c>
      <c r="D315">
        <v>2010</v>
      </c>
      <c r="E315" t="s">
        <v>13</v>
      </c>
      <c r="F315" t="s">
        <v>59</v>
      </c>
      <c r="G315">
        <v>2.12</v>
      </c>
      <c r="H315">
        <v>1.1399999999999999</v>
      </c>
      <c r="I315">
        <v>0.1</v>
      </c>
      <c r="J315">
        <v>0.51</v>
      </c>
      <c r="K315">
        <v>3.87</v>
      </c>
    </row>
    <row r="316" spans="1:11" x14ac:dyDescent="0.3">
      <c r="A316">
        <v>315</v>
      </c>
      <c r="B316" t="s">
        <v>340</v>
      </c>
      <c r="C316" t="s">
        <v>67</v>
      </c>
      <c r="D316">
        <v>2015</v>
      </c>
      <c r="E316" t="s">
        <v>13</v>
      </c>
      <c r="F316" t="s">
        <v>44</v>
      </c>
      <c r="G316">
        <v>2.48</v>
      </c>
      <c r="H316">
        <v>0.65</v>
      </c>
      <c r="I316">
        <v>0.03</v>
      </c>
      <c r="J316">
        <v>0.69</v>
      </c>
      <c r="K316">
        <v>3.85</v>
      </c>
    </row>
    <row r="317" spans="1:11" x14ac:dyDescent="0.3">
      <c r="A317">
        <v>316</v>
      </c>
      <c r="B317" t="s">
        <v>341</v>
      </c>
      <c r="C317" t="s">
        <v>46</v>
      </c>
      <c r="D317">
        <v>2004</v>
      </c>
      <c r="E317" t="s">
        <v>13</v>
      </c>
      <c r="F317" t="s">
        <v>183</v>
      </c>
      <c r="G317">
        <v>0.16</v>
      </c>
      <c r="H317">
        <v>1.89</v>
      </c>
      <c r="I317">
        <v>1.1200000000000001</v>
      </c>
      <c r="J317">
        <v>0.68</v>
      </c>
      <c r="K317">
        <v>3.85</v>
      </c>
    </row>
    <row r="318" spans="1:11" x14ac:dyDescent="0.3">
      <c r="A318">
        <v>317</v>
      </c>
      <c r="B318" t="s">
        <v>342</v>
      </c>
      <c r="C318" t="s">
        <v>26</v>
      </c>
      <c r="D318">
        <v>2007</v>
      </c>
      <c r="E318" t="s">
        <v>28</v>
      </c>
      <c r="F318" t="s">
        <v>14</v>
      </c>
      <c r="G318">
        <v>0.87</v>
      </c>
      <c r="H318">
        <v>1.57</v>
      </c>
      <c r="I318">
        <v>1.05</v>
      </c>
      <c r="J318">
        <v>0.35</v>
      </c>
      <c r="K318">
        <v>3.84</v>
      </c>
    </row>
    <row r="319" spans="1:11" x14ac:dyDescent="0.3">
      <c r="A319">
        <v>318</v>
      </c>
      <c r="B319" t="s">
        <v>343</v>
      </c>
      <c r="C319" t="s">
        <v>86</v>
      </c>
      <c r="D319">
        <v>1995</v>
      </c>
      <c r="E319" t="s">
        <v>28</v>
      </c>
      <c r="F319" t="s">
        <v>59</v>
      </c>
      <c r="G319">
        <v>2.12</v>
      </c>
      <c r="H319">
        <v>1.44</v>
      </c>
      <c r="I319">
        <v>0.22</v>
      </c>
      <c r="J319">
        <v>0.06</v>
      </c>
      <c r="K319">
        <v>3.84</v>
      </c>
    </row>
    <row r="320" spans="1:11" x14ac:dyDescent="0.3">
      <c r="A320">
        <v>319</v>
      </c>
      <c r="B320" t="s">
        <v>344</v>
      </c>
      <c r="C320" t="s">
        <v>21</v>
      </c>
      <c r="D320">
        <v>1992</v>
      </c>
      <c r="E320" t="s">
        <v>43</v>
      </c>
      <c r="F320" t="s">
        <v>14</v>
      </c>
      <c r="G320">
        <v>2.21</v>
      </c>
      <c r="H320">
        <v>0.96</v>
      </c>
      <c r="I320">
        <v>0.54</v>
      </c>
      <c r="J320">
        <v>0.13</v>
      </c>
      <c r="K320">
        <v>3.83</v>
      </c>
    </row>
    <row r="321" spans="1:11" x14ac:dyDescent="0.3">
      <c r="A321">
        <v>320</v>
      </c>
      <c r="B321" t="s">
        <v>345</v>
      </c>
      <c r="C321" t="s">
        <v>26</v>
      </c>
      <c r="D321">
        <v>2009</v>
      </c>
      <c r="E321" t="s">
        <v>22</v>
      </c>
      <c r="F321" t="s">
        <v>14</v>
      </c>
      <c r="G321">
        <v>2.2599999999999998</v>
      </c>
      <c r="H321">
        <v>0.48</v>
      </c>
      <c r="I321">
        <v>0.81</v>
      </c>
      <c r="J321">
        <v>0.27</v>
      </c>
      <c r="K321">
        <v>3.83</v>
      </c>
    </row>
    <row r="322" spans="1:11" x14ac:dyDescent="0.3">
      <c r="A322">
        <v>321</v>
      </c>
      <c r="B322" t="s">
        <v>346</v>
      </c>
      <c r="C322" t="s">
        <v>12</v>
      </c>
      <c r="D322">
        <v>2007</v>
      </c>
      <c r="E322" t="s">
        <v>28</v>
      </c>
      <c r="F322" t="s">
        <v>14</v>
      </c>
      <c r="G322">
        <v>1.06</v>
      </c>
      <c r="H322">
        <v>1.93</v>
      </c>
      <c r="I322">
        <v>0.41</v>
      </c>
      <c r="J322">
        <v>0.43</v>
      </c>
      <c r="K322">
        <v>3.82</v>
      </c>
    </row>
    <row r="323" spans="1:11" x14ac:dyDescent="0.3">
      <c r="A323">
        <v>322</v>
      </c>
      <c r="B323" t="s">
        <v>347</v>
      </c>
      <c r="C323" t="s">
        <v>65</v>
      </c>
      <c r="D323">
        <v>2011</v>
      </c>
      <c r="E323" t="s">
        <v>33</v>
      </c>
      <c r="F323" t="s">
        <v>14</v>
      </c>
      <c r="G323">
        <v>1.44</v>
      </c>
      <c r="H323">
        <v>1.37</v>
      </c>
      <c r="I323">
        <v>0.73</v>
      </c>
      <c r="J323">
        <v>0.27</v>
      </c>
      <c r="K323">
        <v>3.81</v>
      </c>
    </row>
    <row r="324" spans="1:11" x14ac:dyDescent="0.3">
      <c r="A324">
        <v>323</v>
      </c>
      <c r="B324" t="s">
        <v>348</v>
      </c>
      <c r="C324" t="s">
        <v>67</v>
      </c>
      <c r="D324">
        <v>2015</v>
      </c>
      <c r="E324" t="s">
        <v>43</v>
      </c>
      <c r="F324" t="s">
        <v>205</v>
      </c>
      <c r="G324">
        <v>1.49</v>
      </c>
      <c r="H324">
        <v>1.58</v>
      </c>
      <c r="I324">
        <v>0.1</v>
      </c>
      <c r="J324">
        <v>0.61</v>
      </c>
      <c r="K324">
        <v>3.79</v>
      </c>
    </row>
    <row r="325" spans="1:11" x14ac:dyDescent="0.3">
      <c r="A325">
        <v>324</v>
      </c>
      <c r="B325" t="s">
        <v>349</v>
      </c>
      <c r="C325" t="s">
        <v>12</v>
      </c>
      <c r="D325">
        <v>2011</v>
      </c>
      <c r="E325" t="s">
        <v>13</v>
      </c>
      <c r="F325" t="s">
        <v>121</v>
      </c>
      <c r="G325">
        <v>1.1399999999999999</v>
      </c>
      <c r="H325">
        <v>1.91</v>
      </c>
      <c r="I325">
        <v>0.27</v>
      </c>
      <c r="J325">
        <v>0.46</v>
      </c>
      <c r="K325">
        <v>3.78</v>
      </c>
    </row>
    <row r="326" spans="1:11" x14ac:dyDescent="0.3">
      <c r="A326">
        <v>325</v>
      </c>
      <c r="B326" t="s">
        <v>350</v>
      </c>
      <c r="C326" t="s">
        <v>39</v>
      </c>
      <c r="D326">
        <v>2008</v>
      </c>
      <c r="E326" t="s">
        <v>43</v>
      </c>
      <c r="F326" t="s">
        <v>61</v>
      </c>
      <c r="G326">
        <v>2.4</v>
      </c>
      <c r="H326">
        <v>1.03</v>
      </c>
      <c r="I326">
        <v>0</v>
      </c>
      <c r="J326">
        <v>0.36</v>
      </c>
      <c r="K326">
        <v>3.78</v>
      </c>
    </row>
    <row r="327" spans="1:11" x14ac:dyDescent="0.3">
      <c r="A327">
        <v>326</v>
      </c>
      <c r="B327" t="s">
        <v>351</v>
      </c>
      <c r="C327" t="s">
        <v>86</v>
      </c>
      <c r="D327">
        <v>1996</v>
      </c>
      <c r="E327" t="s">
        <v>43</v>
      </c>
      <c r="F327" t="s">
        <v>197</v>
      </c>
      <c r="G327">
        <v>1.82</v>
      </c>
      <c r="H327">
        <v>1.24</v>
      </c>
      <c r="I327">
        <v>0.47</v>
      </c>
      <c r="J327">
        <v>0.25</v>
      </c>
      <c r="K327">
        <v>3.77</v>
      </c>
    </row>
    <row r="328" spans="1:11" x14ac:dyDescent="0.3">
      <c r="A328">
        <v>327</v>
      </c>
      <c r="B328" t="s">
        <v>352</v>
      </c>
      <c r="C328" t="s">
        <v>129</v>
      </c>
      <c r="D328">
        <v>2007</v>
      </c>
      <c r="E328" t="s">
        <v>2</v>
      </c>
      <c r="F328" t="s">
        <v>59</v>
      </c>
      <c r="G328">
        <v>1.4</v>
      </c>
      <c r="H328">
        <v>1.4</v>
      </c>
      <c r="I328">
        <v>0.1</v>
      </c>
      <c r="J328">
        <v>0.87</v>
      </c>
      <c r="K328">
        <v>3.77</v>
      </c>
    </row>
    <row r="329" spans="1:11" x14ac:dyDescent="0.3">
      <c r="A329">
        <v>328</v>
      </c>
      <c r="B329" t="s">
        <v>353</v>
      </c>
      <c r="C329" t="s">
        <v>12</v>
      </c>
      <c r="D329">
        <v>2013</v>
      </c>
      <c r="E329" t="s">
        <v>28</v>
      </c>
      <c r="F329" t="s">
        <v>92</v>
      </c>
      <c r="G329">
        <v>1.98</v>
      </c>
      <c r="H329">
        <v>1.47</v>
      </c>
      <c r="I329">
        <v>0</v>
      </c>
      <c r="J329">
        <v>0.32</v>
      </c>
      <c r="K329">
        <v>3.76</v>
      </c>
    </row>
    <row r="330" spans="1:11" x14ac:dyDescent="0.3">
      <c r="A330">
        <v>329</v>
      </c>
      <c r="B330" t="s">
        <v>354</v>
      </c>
      <c r="C330" t="s">
        <v>118</v>
      </c>
      <c r="D330">
        <v>2002</v>
      </c>
      <c r="E330" t="s">
        <v>33</v>
      </c>
      <c r="F330" t="s">
        <v>110</v>
      </c>
      <c r="G330">
        <v>2.0299999999999998</v>
      </c>
      <c r="H330">
        <v>1.56</v>
      </c>
      <c r="I330">
        <v>0</v>
      </c>
      <c r="J330">
        <v>0.17</v>
      </c>
      <c r="K330">
        <v>3.76</v>
      </c>
    </row>
    <row r="331" spans="1:11" x14ac:dyDescent="0.3">
      <c r="A331">
        <v>330</v>
      </c>
      <c r="B331" t="s">
        <v>355</v>
      </c>
      <c r="C331" t="s">
        <v>12</v>
      </c>
      <c r="D331">
        <v>2007</v>
      </c>
      <c r="E331" t="s">
        <v>2</v>
      </c>
      <c r="F331" t="s">
        <v>14</v>
      </c>
      <c r="G331">
        <v>1.98</v>
      </c>
      <c r="H331">
        <v>0.88</v>
      </c>
      <c r="I331">
        <v>0.59</v>
      </c>
      <c r="J331">
        <v>0.32</v>
      </c>
      <c r="K331">
        <v>3.76</v>
      </c>
    </row>
    <row r="332" spans="1:11" x14ac:dyDescent="0.3">
      <c r="A332">
        <v>331</v>
      </c>
      <c r="B332" t="s">
        <v>356</v>
      </c>
      <c r="C332" t="s">
        <v>86</v>
      </c>
      <c r="D332">
        <v>2001</v>
      </c>
      <c r="E332" t="s">
        <v>43</v>
      </c>
      <c r="F332" t="s">
        <v>110</v>
      </c>
      <c r="G332">
        <v>1.37</v>
      </c>
      <c r="H332">
        <v>2</v>
      </c>
      <c r="I332">
        <v>0.14000000000000001</v>
      </c>
      <c r="J332">
        <v>0.22</v>
      </c>
      <c r="K332">
        <v>3.73</v>
      </c>
    </row>
    <row r="333" spans="1:11" x14ac:dyDescent="0.3">
      <c r="A333">
        <v>332</v>
      </c>
      <c r="B333" t="s">
        <v>357</v>
      </c>
      <c r="C333" t="s">
        <v>67</v>
      </c>
      <c r="D333">
        <v>2015</v>
      </c>
      <c r="E333" t="s">
        <v>22</v>
      </c>
      <c r="F333" t="s">
        <v>295</v>
      </c>
      <c r="G333">
        <v>0.96</v>
      </c>
      <c r="H333">
        <v>2</v>
      </c>
      <c r="I333">
        <v>0.21</v>
      </c>
      <c r="J333">
        <v>0.56000000000000005</v>
      </c>
      <c r="K333">
        <v>3.73</v>
      </c>
    </row>
    <row r="334" spans="1:11" x14ac:dyDescent="0.3">
      <c r="A334">
        <v>333</v>
      </c>
      <c r="B334" t="s">
        <v>358</v>
      </c>
      <c r="C334" t="s">
        <v>86</v>
      </c>
      <c r="D334">
        <v>1999</v>
      </c>
      <c r="E334" t="s">
        <v>43</v>
      </c>
      <c r="F334" t="s">
        <v>222</v>
      </c>
      <c r="G334">
        <v>1.3</v>
      </c>
      <c r="H334">
        <v>0.77</v>
      </c>
      <c r="I334">
        <v>1.54</v>
      </c>
      <c r="J334">
        <v>0.11</v>
      </c>
      <c r="K334">
        <v>3.72</v>
      </c>
    </row>
    <row r="335" spans="1:11" x14ac:dyDescent="0.3">
      <c r="A335">
        <v>334</v>
      </c>
      <c r="B335" t="s">
        <v>359</v>
      </c>
      <c r="C335" t="s">
        <v>86</v>
      </c>
      <c r="D335">
        <v>2000</v>
      </c>
      <c r="E335" t="s">
        <v>2</v>
      </c>
      <c r="F335" t="s">
        <v>59</v>
      </c>
      <c r="G335">
        <v>1.93</v>
      </c>
      <c r="H335">
        <v>1.58</v>
      </c>
      <c r="I335">
        <v>0</v>
      </c>
      <c r="J335">
        <v>0.19</v>
      </c>
      <c r="K335">
        <v>3.71</v>
      </c>
    </row>
    <row r="336" spans="1:11" x14ac:dyDescent="0.3">
      <c r="A336">
        <v>335</v>
      </c>
      <c r="B336" t="s">
        <v>360</v>
      </c>
      <c r="C336" t="s">
        <v>46</v>
      </c>
      <c r="D336">
        <v>2004</v>
      </c>
      <c r="E336" t="s">
        <v>13</v>
      </c>
      <c r="F336" t="s">
        <v>110</v>
      </c>
      <c r="G336">
        <v>0.57999999999999996</v>
      </c>
      <c r="H336">
        <v>2.48</v>
      </c>
      <c r="I336">
        <v>0.04</v>
      </c>
      <c r="J336">
        <v>0.59</v>
      </c>
      <c r="K336">
        <v>3.7</v>
      </c>
    </row>
    <row r="337" spans="1:11" x14ac:dyDescent="0.3">
      <c r="A337">
        <v>336</v>
      </c>
      <c r="B337" t="s">
        <v>361</v>
      </c>
      <c r="C337" t="s">
        <v>21</v>
      </c>
      <c r="D337">
        <v>1998</v>
      </c>
      <c r="E337" t="s">
        <v>211</v>
      </c>
      <c r="F337" t="s">
        <v>14</v>
      </c>
      <c r="G337">
        <v>1.49</v>
      </c>
      <c r="H337">
        <v>0.73</v>
      </c>
      <c r="I337">
        <v>1.38</v>
      </c>
      <c r="J337">
        <v>0.1</v>
      </c>
      <c r="K337">
        <v>3.7</v>
      </c>
    </row>
    <row r="338" spans="1:11" x14ac:dyDescent="0.3">
      <c r="A338">
        <v>337</v>
      </c>
      <c r="B338" t="s">
        <v>362</v>
      </c>
      <c r="C338" t="s">
        <v>42</v>
      </c>
      <c r="D338">
        <v>2013</v>
      </c>
      <c r="E338" t="s">
        <v>31</v>
      </c>
      <c r="F338" t="s">
        <v>110</v>
      </c>
      <c r="G338">
        <v>1.3</v>
      </c>
      <c r="H338">
        <v>1.51</v>
      </c>
      <c r="I338">
        <v>0.27</v>
      </c>
      <c r="J338">
        <v>0.61</v>
      </c>
      <c r="K338">
        <v>3.69</v>
      </c>
    </row>
    <row r="339" spans="1:11" x14ac:dyDescent="0.3">
      <c r="A339">
        <v>338</v>
      </c>
      <c r="B339" t="s">
        <v>363</v>
      </c>
      <c r="C339" t="s">
        <v>26</v>
      </c>
      <c r="D339">
        <v>2007</v>
      </c>
      <c r="E339" t="s">
        <v>33</v>
      </c>
      <c r="F339" t="s">
        <v>110</v>
      </c>
      <c r="G339">
        <v>1.59</v>
      </c>
      <c r="H339">
        <v>1.61</v>
      </c>
      <c r="I339">
        <v>0.08</v>
      </c>
      <c r="J339">
        <v>0.41</v>
      </c>
      <c r="K339">
        <v>3.69</v>
      </c>
    </row>
    <row r="340" spans="1:11" x14ac:dyDescent="0.3">
      <c r="A340">
        <v>339</v>
      </c>
      <c r="B340" t="s">
        <v>364</v>
      </c>
      <c r="C340" t="s">
        <v>26</v>
      </c>
      <c r="D340">
        <v>2009</v>
      </c>
      <c r="E340" t="s">
        <v>28</v>
      </c>
      <c r="F340" t="s">
        <v>14</v>
      </c>
      <c r="G340">
        <v>0</v>
      </c>
      <c r="H340">
        <v>0</v>
      </c>
      <c r="I340">
        <v>3.67</v>
      </c>
      <c r="J340">
        <v>0</v>
      </c>
      <c r="K340">
        <v>3.67</v>
      </c>
    </row>
    <row r="341" spans="1:11" x14ac:dyDescent="0.3">
      <c r="A341">
        <v>340</v>
      </c>
      <c r="B341" t="s">
        <v>365</v>
      </c>
      <c r="C341" t="s">
        <v>46</v>
      </c>
      <c r="D341">
        <v>2002</v>
      </c>
      <c r="E341" t="s">
        <v>13</v>
      </c>
      <c r="F341" t="s">
        <v>61</v>
      </c>
      <c r="G341">
        <v>2.13</v>
      </c>
      <c r="H341">
        <v>1.18</v>
      </c>
      <c r="I341">
        <v>0.01</v>
      </c>
      <c r="J341">
        <v>0.35</v>
      </c>
      <c r="K341">
        <v>3.67</v>
      </c>
    </row>
    <row r="342" spans="1:11" x14ac:dyDescent="0.3">
      <c r="A342">
        <v>341</v>
      </c>
      <c r="B342" t="s">
        <v>366</v>
      </c>
      <c r="C342" t="s">
        <v>129</v>
      </c>
      <c r="D342">
        <v>2005</v>
      </c>
      <c r="E342" t="s">
        <v>18</v>
      </c>
      <c r="F342" t="s">
        <v>44</v>
      </c>
      <c r="G342">
        <v>1.65</v>
      </c>
      <c r="H342">
        <v>1.22</v>
      </c>
      <c r="I342">
        <v>0</v>
      </c>
      <c r="J342">
        <v>0.79</v>
      </c>
      <c r="K342">
        <v>3.66</v>
      </c>
    </row>
    <row r="343" spans="1:11" x14ac:dyDescent="0.3">
      <c r="A343">
        <v>342</v>
      </c>
      <c r="B343" t="s">
        <v>367</v>
      </c>
      <c r="C343" t="s">
        <v>78</v>
      </c>
      <c r="D343">
        <v>1998</v>
      </c>
      <c r="E343" t="s">
        <v>2</v>
      </c>
      <c r="F343" t="s">
        <v>14</v>
      </c>
      <c r="G343">
        <v>1.87</v>
      </c>
      <c r="H343">
        <v>1.1299999999999999</v>
      </c>
      <c r="I343">
        <v>0.55000000000000004</v>
      </c>
      <c r="J343">
        <v>0.1</v>
      </c>
      <c r="K343">
        <v>3.65</v>
      </c>
    </row>
    <row r="344" spans="1:11" x14ac:dyDescent="0.3">
      <c r="A344">
        <v>343</v>
      </c>
      <c r="B344" t="s">
        <v>368</v>
      </c>
      <c r="C344" t="s">
        <v>46</v>
      </c>
      <c r="D344">
        <v>2002</v>
      </c>
      <c r="E344" t="s">
        <v>31</v>
      </c>
      <c r="F344" t="s">
        <v>59</v>
      </c>
      <c r="G344">
        <v>2.5299999999999998</v>
      </c>
      <c r="H344">
        <v>0.81</v>
      </c>
      <c r="I344">
        <v>0.06</v>
      </c>
      <c r="J344">
        <v>0.24</v>
      </c>
      <c r="K344">
        <v>3.65</v>
      </c>
    </row>
    <row r="345" spans="1:11" x14ac:dyDescent="0.3">
      <c r="A345">
        <v>344</v>
      </c>
      <c r="B345" t="s">
        <v>369</v>
      </c>
      <c r="C345" t="s">
        <v>12</v>
      </c>
      <c r="D345">
        <v>2008</v>
      </c>
      <c r="E345" t="s">
        <v>28</v>
      </c>
      <c r="F345" t="s">
        <v>61</v>
      </c>
      <c r="G345">
        <v>2.33</v>
      </c>
      <c r="H345">
        <v>0.97</v>
      </c>
      <c r="I345">
        <v>0</v>
      </c>
      <c r="J345">
        <v>0.35</v>
      </c>
      <c r="K345">
        <v>3.65</v>
      </c>
    </row>
    <row r="346" spans="1:11" x14ac:dyDescent="0.3">
      <c r="A346">
        <v>345</v>
      </c>
      <c r="B346" t="s">
        <v>370</v>
      </c>
      <c r="C346" t="s">
        <v>42</v>
      </c>
      <c r="D346">
        <v>2013</v>
      </c>
      <c r="E346" t="s">
        <v>18</v>
      </c>
      <c r="F346" t="s">
        <v>59</v>
      </c>
      <c r="G346">
        <v>0.71</v>
      </c>
      <c r="H346">
        <v>1.8</v>
      </c>
      <c r="I346">
        <v>0.4</v>
      </c>
      <c r="J346">
        <v>0.74</v>
      </c>
      <c r="K346">
        <v>3.64</v>
      </c>
    </row>
    <row r="347" spans="1:11" x14ac:dyDescent="0.3">
      <c r="A347">
        <v>346</v>
      </c>
      <c r="B347" t="s">
        <v>371</v>
      </c>
      <c r="C347" t="s">
        <v>46</v>
      </c>
      <c r="D347">
        <v>2001</v>
      </c>
      <c r="E347" t="s">
        <v>2</v>
      </c>
      <c r="F347" t="s">
        <v>59</v>
      </c>
      <c r="G347">
        <v>2.08</v>
      </c>
      <c r="H347">
        <v>1.0900000000000001</v>
      </c>
      <c r="I347">
        <v>0.15</v>
      </c>
      <c r="J347">
        <v>0.33</v>
      </c>
      <c r="K347">
        <v>3.64</v>
      </c>
    </row>
    <row r="348" spans="1:11" x14ac:dyDescent="0.3">
      <c r="A348">
        <v>347</v>
      </c>
      <c r="B348" t="s">
        <v>372</v>
      </c>
      <c r="C348" t="s">
        <v>78</v>
      </c>
      <c r="D348">
        <v>1999</v>
      </c>
      <c r="E348" t="s">
        <v>33</v>
      </c>
      <c r="F348" t="s">
        <v>14</v>
      </c>
      <c r="G348">
        <v>2.23</v>
      </c>
      <c r="H348">
        <v>0.68</v>
      </c>
      <c r="I348">
        <v>0.66</v>
      </c>
      <c r="J348">
        <v>0.06</v>
      </c>
      <c r="K348">
        <v>3.63</v>
      </c>
    </row>
    <row r="349" spans="1:11" x14ac:dyDescent="0.3">
      <c r="A349">
        <v>348</v>
      </c>
      <c r="B349" t="s">
        <v>373</v>
      </c>
      <c r="C349" t="s">
        <v>42</v>
      </c>
      <c r="D349">
        <v>2009</v>
      </c>
      <c r="E349" t="s">
        <v>13</v>
      </c>
      <c r="F349" t="s">
        <v>110</v>
      </c>
      <c r="G349">
        <v>0.6</v>
      </c>
      <c r="H349">
        <v>2.46</v>
      </c>
      <c r="I349">
        <v>0.05</v>
      </c>
      <c r="J349">
        <v>0.52</v>
      </c>
      <c r="K349">
        <v>3.63</v>
      </c>
    </row>
    <row r="350" spans="1:11" x14ac:dyDescent="0.3">
      <c r="A350">
        <v>349</v>
      </c>
      <c r="B350" t="s">
        <v>374</v>
      </c>
      <c r="C350" t="s">
        <v>46</v>
      </c>
      <c r="D350">
        <v>2007</v>
      </c>
      <c r="E350" t="s">
        <v>13</v>
      </c>
      <c r="F350" t="s">
        <v>183</v>
      </c>
      <c r="G350">
        <v>0.05</v>
      </c>
      <c r="H350">
        <v>0</v>
      </c>
      <c r="I350">
        <v>0.64</v>
      </c>
      <c r="J350">
        <v>2.93</v>
      </c>
      <c r="K350">
        <v>3.63</v>
      </c>
    </row>
    <row r="351" spans="1:11" x14ac:dyDescent="0.3">
      <c r="A351">
        <v>350</v>
      </c>
      <c r="B351" t="s">
        <v>93</v>
      </c>
      <c r="C351" t="s">
        <v>67</v>
      </c>
      <c r="D351">
        <v>2013</v>
      </c>
      <c r="E351" t="s">
        <v>31</v>
      </c>
      <c r="F351" t="s">
        <v>61</v>
      </c>
      <c r="G351">
        <v>1.78</v>
      </c>
      <c r="H351">
        <v>1.42</v>
      </c>
      <c r="I351">
        <v>0.05</v>
      </c>
      <c r="J351">
        <v>0.38</v>
      </c>
      <c r="K351">
        <v>3.63</v>
      </c>
    </row>
    <row r="352" spans="1:11" x14ac:dyDescent="0.3">
      <c r="A352">
        <v>351</v>
      </c>
      <c r="B352" t="s">
        <v>375</v>
      </c>
      <c r="C352" t="s">
        <v>46</v>
      </c>
      <c r="D352">
        <v>2005</v>
      </c>
      <c r="E352" t="s">
        <v>43</v>
      </c>
      <c r="F352" t="s">
        <v>175</v>
      </c>
      <c r="G352">
        <v>2.08</v>
      </c>
      <c r="H352">
        <v>0.83</v>
      </c>
      <c r="I352">
        <v>0.46</v>
      </c>
      <c r="J352">
        <v>0.25</v>
      </c>
      <c r="K352">
        <v>3.62</v>
      </c>
    </row>
    <row r="353" spans="1:11" x14ac:dyDescent="0.3">
      <c r="A353">
        <v>352</v>
      </c>
      <c r="B353" t="s">
        <v>376</v>
      </c>
      <c r="C353" t="s">
        <v>67</v>
      </c>
      <c r="D353">
        <v>2016</v>
      </c>
      <c r="E353" t="s">
        <v>31</v>
      </c>
      <c r="F353" t="s">
        <v>92</v>
      </c>
      <c r="G353">
        <v>1.28</v>
      </c>
      <c r="H353">
        <v>1.61</v>
      </c>
      <c r="I353">
        <v>0.15</v>
      </c>
      <c r="J353">
        <v>0.56999999999999995</v>
      </c>
      <c r="K353">
        <v>3.61</v>
      </c>
    </row>
    <row r="354" spans="1:11" x14ac:dyDescent="0.3">
      <c r="A354">
        <v>353</v>
      </c>
      <c r="B354" t="s">
        <v>377</v>
      </c>
      <c r="C354" t="s">
        <v>46</v>
      </c>
      <c r="D354">
        <v>2004</v>
      </c>
      <c r="E354" t="s">
        <v>31</v>
      </c>
      <c r="F354" t="s">
        <v>195</v>
      </c>
      <c r="G354">
        <v>1.93</v>
      </c>
      <c r="H354">
        <v>1.22</v>
      </c>
      <c r="I354">
        <v>0.03</v>
      </c>
      <c r="J354">
        <v>0.44</v>
      </c>
      <c r="K354">
        <v>3.61</v>
      </c>
    </row>
    <row r="355" spans="1:11" x14ac:dyDescent="0.3">
      <c r="A355">
        <v>354</v>
      </c>
      <c r="B355" t="s">
        <v>378</v>
      </c>
      <c r="C355" t="s">
        <v>118</v>
      </c>
      <c r="D355">
        <v>1994</v>
      </c>
      <c r="E355" t="s">
        <v>31</v>
      </c>
      <c r="F355" t="s">
        <v>197</v>
      </c>
      <c r="G355">
        <v>2.0499999999999998</v>
      </c>
      <c r="H355">
        <v>1.4</v>
      </c>
      <c r="I355">
        <v>0</v>
      </c>
      <c r="J355">
        <v>0.16</v>
      </c>
      <c r="K355">
        <v>3.61</v>
      </c>
    </row>
    <row r="356" spans="1:11" x14ac:dyDescent="0.3">
      <c r="A356">
        <v>355</v>
      </c>
      <c r="B356" t="s">
        <v>379</v>
      </c>
      <c r="C356" t="s">
        <v>46</v>
      </c>
      <c r="D356">
        <v>2001</v>
      </c>
      <c r="E356" t="s">
        <v>18</v>
      </c>
      <c r="F356" t="s">
        <v>110</v>
      </c>
      <c r="G356">
        <v>2.02</v>
      </c>
      <c r="H356">
        <v>1.17</v>
      </c>
      <c r="I356">
        <v>0</v>
      </c>
      <c r="J356">
        <v>0.42</v>
      </c>
      <c r="K356">
        <v>3.61</v>
      </c>
    </row>
    <row r="357" spans="1:11" x14ac:dyDescent="0.3">
      <c r="A357">
        <v>356</v>
      </c>
      <c r="B357" t="s">
        <v>380</v>
      </c>
      <c r="C357" t="s">
        <v>26</v>
      </c>
      <c r="D357">
        <v>2007</v>
      </c>
      <c r="E357" t="s">
        <v>33</v>
      </c>
      <c r="F357" t="s">
        <v>158</v>
      </c>
      <c r="G357">
        <v>1.61</v>
      </c>
      <c r="H357">
        <v>1.5</v>
      </c>
      <c r="I357">
        <v>0.1</v>
      </c>
      <c r="J357">
        <v>0.39</v>
      </c>
      <c r="K357">
        <v>3.61</v>
      </c>
    </row>
    <row r="358" spans="1:11" x14ac:dyDescent="0.3">
      <c r="A358">
        <v>357</v>
      </c>
      <c r="B358" t="s">
        <v>381</v>
      </c>
      <c r="C358" t="s">
        <v>146</v>
      </c>
      <c r="D358">
        <v>2001</v>
      </c>
      <c r="E358" t="s">
        <v>43</v>
      </c>
      <c r="F358" t="s">
        <v>14</v>
      </c>
      <c r="G358">
        <v>2.38</v>
      </c>
      <c r="H358">
        <v>0.67</v>
      </c>
      <c r="I358">
        <v>0.46</v>
      </c>
      <c r="J358">
        <v>0.1</v>
      </c>
      <c r="K358">
        <v>3.6</v>
      </c>
    </row>
    <row r="359" spans="1:11" x14ac:dyDescent="0.3">
      <c r="A359">
        <v>358</v>
      </c>
      <c r="B359" t="s">
        <v>382</v>
      </c>
      <c r="C359" t="s">
        <v>46</v>
      </c>
      <c r="D359">
        <v>2005</v>
      </c>
      <c r="E359" t="s">
        <v>31</v>
      </c>
      <c r="F359" t="s">
        <v>195</v>
      </c>
      <c r="G359">
        <v>2.1800000000000002</v>
      </c>
      <c r="H359">
        <v>1.02</v>
      </c>
      <c r="I359">
        <v>0.03</v>
      </c>
      <c r="J359">
        <v>0.37</v>
      </c>
      <c r="K359">
        <v>3.59</v>
      </c>
    </row>
    <row r="360" spans="1:11" x14ac:dyDescent="0.3">
      <c r="A360">
        <v>359</v>
      </c>
      <c r="B360" t="s">
        <v>383</v>
      </c>
      <c r="C360" t="s">
        <v>86</v>
      </c>
      <c r="D360">
        <v>2000</v>
      </c>
      <c r="E360" t="s">
        <v>72</v>
      </c>
      <c r="F360" t="s">
        <v>384</v>
      </c>
      <c r="G360">
        <v>2.0099999999999998</v>
      </c>
      <c r="H360">
        <v>1.35</v>
      </c>
      <c r="I360">
        <v>0.06</v>
      </c>
      <c r="J360">
        <v>0.16</v>
      </c>
      <c r="K360">
        <v>3.58</v>
      </c>
    </row>
    <row r="361" spans="1:11" x14ac:dyDescent="0.3">
      <c r="A361">
        <v>360</v>
      </c>
      <c r="B361" t="s">
        <v>385</v>
      </c>
      <c r="C361" t="s">
        <v>86</v>
      </c>
      <c r="D361">
        <v>1997</v>
      </c>
      <c r="E361" t="s">
        <v>2</v>
      </c>
      <c r="F361" t="s">
        <v>386</v>
      </c>
      <c r="G361">
        <v>1.57</v>
      </c>
      <c r="H361">
        <v>1.79</v>
      </c>
      <c r="I361">
        <v>0</v>
      </c>
      <c r="J361">
        <v>0.2</v>
      </c>
      <c r="K361">
        <v>3.56</v>
      </c>
    </row>
    <row r="362" spans="1:11" x14ac:dyDescent="0.3">
      <c r="A362">
        <v>361</v>
      </c>
      <c r="B362" t="s">
        <v>128</v>
      </c>
      <c r="C362" t="s">
        <v>46</v>
      </c>
      <c r="D362">
        <v>2006</v>
      </c>
      <c r="E362" t="s">
        <v>43</v>
      </c>
      <c r="F362" t="s">
        <v>44</v>
      </c>
      <c r="G362">
        <v>1.56</v>
      </c>
      <c r="H362">
        <v>1.4</v>
      </c>
      <c r="I362">
        <v>7.0000000000000007E-2</v>
      </c>
      <c r="J362">
        <v>0.5</v>
      </c>
      <c r="K362">
        <v>3.54</v>
      </c>
    </row>
    <row r="363" spans="1:11" x14ac:dyDescent="0.3">
      <c r="A363">
        <v>362</v>
      </c>
      <c r="B363" t="s">
        <v>387</v>
      </c>
      <c r="C363" t="s">
        <v>46</v>
      </c>
      <c r="D363">
        <v>2002</v>
      </c>
      <c r="E363" t="s">
        <v>43</v>
      </c>
      <c r="F363" t="s">
        <v>59</v>
      </c>
      <c r="G363">
        <v>1.23</v>
      </c>
      <c r="H363">
        <v>1.77</v>
      </c>
      <c r="I363">
        <v>0.05</v>
      </c>
      <c r="J363">
        <v>0.49</v>
      </c>
      <c r="K363">
        <v>3.54</v>
      </c>
    </row>
    <row r="364" spans="1:11" x14ac:dyDescent="0.3">
      <c r="A364">
        <v>363</v>
      </c>
      <c r="B364" t="s">
        <v>388</v>
      </c>
      <c r="C364" t="s">
        <v>86</v>
      </c>
      <c r="D364">
        <v>1997</v>
      </c>
      <c r="E364" t="s">
        <v>43</v>
      </c>
      <c r="F364" t="s">
        <v>222</v>
      </c>
      <c r="G364">
        <v>1.66</v>
      </c>
      <c r="H364">
        <v>1.58</v>
      </c>
      <c r="I364">
        <v>0.12</v>
      </c>
      <c r="J364">
        <v>0.18</v>
      </c>
      <c r="K364">
        <v>3.54</v>
      </c>
    </row>
    <row r="365" spans="1:11" x14ac:dyDescent="0.3">
      <c r="A365">
        <v>364</v>
      </c>
      <c r="B365" t="s">
        <v>389</v>
      </c>
      <c r="C365" t="s">
        <v>46</v>
      </c>
      <c r="D365">
        <v>2001</v>
      </c>
      <c r="E365" t="s">
        <v>31</v>
      </c>
      <c r="F365" t="s">
        <v>110</v>
      </c>
      <c r="G365">
        <v>1.9</v>
      </c>
      <c r="H365">
        <v>1.1299999999999999</v>
      </c>
      <c r="I365">
        <v>0.1</v>
      </c>
      <c r="J365">
        <v>0.41</v>
      </c>
      <c r="K365">
        <v>3.53</v>
      </c>
    </row>
    <row r="366" spans="1:11" x14ac:dyDescent="0.3">
      <c r="A366">
        <v>365</v>
      </c>
      <c r="B366" t="s">
        <v>390</v>
      </c>
      <c r="C366" t="s">
        <v>46</v>
      </c>
      <c r="D366">
        <v>2005</v>
      </c>
      <c r="E366" t="s">
        <v>43</v>
      </c>
      <c r="F366" t="s">
        <v>222</v>
      </c>
      <c r="G366">
        <v>1.98</v>
      </c>
      <c r="H366">
        <v>1.1399999999999999</v>
      </c>
      <c r="I366">
        <v>0.01</v>
      </c>
      <c r="J366">
        <v>0.41</v>
      </c>
      <c r="K366">
        <v>3.53</v>
      </c>
    </row>
    <row r="367" spans="1:11" x14ac:dyDescent="0.3">
      <c r="A367">
        <v>366</v>
      </c>
      <c r="B367" t="s">
        <v>362</v>
      </c>
      <c r="C367" t="s">
        <v>39</v>
      </c>
      <c r="D367">
        <v>2013</v>
      </c>
      <c r="E367" t="s">
        <v>31</v>
      </c>
      <c r="F367" t="s">
        <v>110</v>
      </c>
      <c r="G367">
        <v>2.14</v>
      </c>
      <c r="H367">
        <v>1.08</v>
      </c>
      <c r="I367">
        <v>0.02</v>
      </c>
      <c r="J367">
        <v>0.28999999999999998</v>
      </c>
      <c r="K367">
        <v>3.53</v>
      </c>
    </row>
    <row r="368" spans="1:11" x14ac:dyDescent="0.3">
      <c r="A368">
        <v>367</v>
      </c>
      <c r="B368" t="s">
        <v>240</v>
      </c>
      <c r="C368" t="s">
        <v>39</v>
      </c>
      <c r="D368">
        <v>2010</v>
      </c>
      <c r="E368" t="s">
        <v>13</v>
      </c>
      <c r="F368" t="s">
        <v>110</v>
      </c>
      <c r="G368">
        <v>0.71</v>
      </c>
      <c r="H368">
        <v>2.4</v>
      </c>
      <c r="I368">
        <v>0.02</v>
      </c>
      <c r="J368">
        <v>0.4</v>
      </c>
      <c r="K368">
        <v>3.53</v>
      </c>
    </row>
    <row r="369" spans="1:11" x14ac:dyDescent="0.3">
      <c r="A369">
        <v>368</v>
      </c>
      <c r="B369" t="s">
        <v>391</v>
      </c>
      <c r="C369" t="s">
        <v>86</v>
      </c>
      <c r="D369">
        <v>2000</v>
      </c>
      <c r="E369" t="s">
        <v>43</v>
      </c>
      <c r="F369" t="s">
        <v>384</v>
      </c>
      <c r="G369">
        <v>1.96</v>
      </c>
      <c r="H369">
        <v>1.33</v>
      </c>
      <c r="I369">
        <v>0</v>
      </c>
      <c r="J369">
        <v>0.23</v>
      </c>
      <c r="K369">
        <v>3.52</v>
      </c>
    </row>
    <row r="370" spans="1:11" x14ac:dyDescent="0.3">
      <c r="A370">
        <v>369</v>
      </c>
      <c r="B370" t="s">
        <v>392</v>
      </c>
      <c r="C370" t="s">
        <v>86</v>
      </c>
      <c r="D370">
        <v>1999</v>
      </c>
      <c r="E370" t="s">
        <v>2</v>
      </c>
      <c r="F370" t="s">
        <v>59</v>
      </c>
      <c r="G370">
        <v>2.14</v>
      </c>
      <c r="H370">
        <v>1.21</v>
      </c>
      <c r="I370">
        <v>0.01</v>
      </c>
      <c r="J370">
        <v>0.17</v>
      </c>
      <c r="K370">
        <v>3.52</v>
      </c>
    </row>
    <row r="371" spans="1:11" x14ac:dyDescent="0.3">
      <c r="A371">
        <v>370</v>
      </c>
      <c r="B371" t="s">
        <v>393</v>
      </c>
      <c r="C371" t="s">
        <v>39</v>
      </c>
      <c r="D371">
        <v>2008</v>
      </c>
      <c r="E371" t="s">
        <v>31</v>
      </c>
      <c r="F371" t="s">
        <v>110</v>
      </c>
      <c r="G371">
        <v>2.66</v>
      </c>
      <c r="H371">
        <v>0.5</v>
      </c>
      <c r="I371">
        <v>0.05</v>
      </c>
      <c r="J371">
        <v>0.3</v>
      </c>
      <c r="K371">
        <v>3.52</v>
      </c>
    </row>
    <row r="372" spans="1:11" x14ac:dyDescent="0.3">
      <c r="A372">
        <v>371</v>
      </c>
      <c r="B372" t="s">
        <v>267</v>
      </c>
      <c r="C372" t="s">
        <v>26</v>
      </c>
      <c r="D372">
        <v>2009</v>
      </c>
      <c r="E372" t="s">
        <v>13</v>
      </c>
      <c r="F372" t="s">
        <v>121</v>
      </c>
      <c r="G372">
        <v>1.22</v>
      </c>
      <c r="H372">
        <v>1.66</v>
      </c>
      <c r="I372">
        <v>0.27</v>
      </c>
      <c r="J372">
        <v>0.38</v>
      </c>
      <c r="K372">
        <v>3.52</v>
      </c>
    </row>
    <row r="373" spans="1:11" x14ac:dyDescent="0.3">
      <c r="A373">
        <v>372</v>
      </c>
      <c r="B373" t="s">
        <v>238</v>
      </c>
      <c r="C373" t="s">
        <v>39</v>
      </c>
      <c r="D373">
        <v>2009</v>
      </c>
      <c r="E373" t="s">
        <v>43</v>
      </c>
      <c r="F373" t="s">
        <v>175</v>
      </c>
      <c r="G373">
        <v>2.11</v>
      </c>
      <c r="H373">
        <v>0.94</v>
      </c>
      <c r="I373">
        <v>0.12</v>
      </c>
      <c r="J373">
        <v>0.34</v>
      </c>
      <c r="K373">
        <v>3.51</v>
      </c>
    </row>
    <row r="374" spans="1:11" x14ac:dyDescent="0.3">
      <c r="A374">
        <v>373</v>
      </c>
      <c r="B374" t="s">
        <v>394</v>
      </c>
      <c r="C374" t="s">
        <v>48</v>
      </c>
      <c r="D374">
        <v>1996</v>
      </c>
      <c r="E374" t="s">
        <v>2</v>
      </c>
      <c r="F374" t="s">
        <v>14</v>
      </c>
      <c r="G374">
        <v>1.17</v>
      </c>
      <c r="H374">
        <v>0.5</v>
      </c>
      <c r="I374">
        <v>1.75</v>
      </c>
      <c r="J374">
        <v>0.08</v>
      </c>
      <c r="K374">
        <v>3.51</v>
      </c>
    </row>
    <row r="375" spans="1:11" x14ac:dyDescent="0.3">
      <c r="A375">
        <v>374</v>
      </c>
      <c r="B375" t="s">
        <v>395</v>
      </c>
      <c r="C375" t="s">
        <v>39</v>
      </c>
      <c r="D375">
        <v>2010</v>
      </c>
      <c r="E375" t="s">
        <v>43</v>
      </c>
      <c r="F375" t="s">
        <v>92</v>
      </c>
      <c r="G375">
        <v>2.84</v>
      </c>
      <c r="H375">
        <v>0.39</v>
      </c>
      <c r="I375">
        <v>0.03</v>
      </c>
      <c r="J375">
        <v>0.24</v>
      </c>
      <c r="K375">
        <v>3.5</v>
      </c>
    </row>
    <row r="376" spans="1:11" x14ac:dyDescent="0.3">
      <c r="A376">
        <v>375</v>
      </c>
      <c r="B376" t="s">
        <v>396</v>
      </c>
      <c r="C376" t="s">
        <v>16</v>
      </c>
      <c r="D376">
        <v>1985</v>
      </c>
      <c r="E376" t="s">
        <v>43</v>
      </c>
      <c r="F376" t="s">
        <v>14</v>
      </c>
      <c r="G376">
        <v>1.64</v>
      </c>
      <c r="H376">
        <v>0.38</v>
      </c>
      <c r="I376">
        <v>1.42</v>
      </c>
      <c r="J376">
        <v>0.06</v>
      </c>
      <c r="K376">
        <v>3.5</v>
      </c>
    </row>
    <row r="377" spans="1:11" x14ac:dyDescent="0.3">
      <c r="A377">
        <v>376</v>
      </c>
      <c r="B377" t="s">
        <v>292</v>
      </c>
      <c r="C377" t="s">
        <v>39</v>
      </c>
      <c r="D377">
        <v>2009</v>
      </c>
      <c r="E377" t="s">
        <v>43</v>
      </c>
      <c r="F377" t="s">
        <v>222</v>
      </c>
      <c r="G377">
        <v>2.2000000000000002</v>
      </c>
      <c r="H377">
        <v>0.97</v>
      </c>
      <c r="I377">
        <v>0.02</v>
      </c>
      <c r="J377">
        <v>0.31</v>
      </c>
      <c r="K377">
        <v>3.5</v>
      </c>
    </row>
    <row r="378" spans="1:11" x14ac:dyDescent="0.3">
      <c r="A378">
        <v>377</v>
      </c>
      <c r="B378" t="s">
        <v>397</v>
      </c>
      <c r="C378" t="s">
        <v>26</v>
      </c>
      <c r="D378">
        <v>2006</v>
      </c>
      <c r="E378" t="s">
        <v>28</v>
      </c>
      <c r="F378" t="s">
        <v>14</v>
      </c>
      <c r="G378">
        <v>0.59</v>
      </c>
      <c r="H378">
        <v>1.83</v>
      </c>
      <c r="I378">
        <v>0.73</v>
      </c>
      <c r="J378">
        <v>0.35</v>
      </c>
      <c r="K378">
        <v>3.5</v>
      </c>
    </row>
    <row r="379" spans="1:11" x14ac:dyDescent="0.3">
      <c r="A379">
        <v>378</v>
      </c>
      <c r="B379" t="s">
        <v>398</v>
      </c>
      <c r="C379" t="s">
        <v>46</v>
      </c>
      <c r="D379" t="s">
        <v>224</v>
      </c>
      <c r="E379" t="s">
        <v>13</v>
      </c>
      <c r="F379" t="s">
        <v>110</v>
      </c>
      <c r="G379">
        <v>0.59</v>
      </c>
      <c r="H379">
        <v>2.36</v>
      </c>
      <c r="I379">
        <v>0.04</v>
      </c>
      <c r="J379">
        <v>0.51</v>
      </c>
      <c r="K379">
        <v>3.49</v>
      </c>
    </row>
    <row r="380" spans="1:11" x14ac:dyDescent="0.3">
      <c r="A380">
        <v>379</v>
      </c>
      <c r="B380" t="s">
        <v>131</v>
      </c>
      <c r="C380" t="s">
        <v>140</v>
      </c>
      <c r="D380">
        <v>2015</v>
      </c>
      <c r="E380" t="s">
        <v>31</v>
      </c>
      <c r="F380" t="s">
        <v>110</v>
      </c>
      <c r="G380">
        <v>1.94</v>
      </c>
      <c r="H380">
        <v>1.22</v>
      </c>
      <c r="I380">
        <v>0.02</v>
      </c>
      <c r="J380">
        <v>0.31</v>
      </c>
      <c r="K380">
        <v>3.49</v>
      </c>
    </row>
    <row r="381" spans="1:11" x14ac:dyDescent="0.3">
      <c r="A381">
        <v>380</v>
      </c>
      <c r="B381" t="s">
        <v>399</v>
      </c>
      <c r="C381" t="s">
        <v>39</v>
      </c>
      <c r="D381">
        <v>2010</v>
      </c>
      <c r="E381" t="s">
        <v>31</v>
      </c>
      <c r="F381" t="s">
        <v>110</v>
      </c>
      <c r="G381">
        <v>2.09</v>
      </c>
      <c r="H381">
        <v>1.02</v>
      </c>
      <c r="I381">
        <v>0.04</v>
      </c>
      <c r="J381">
        <v>0.32</v>
      </c>
      <c r="K381">
        <v>3.48</v>
      </c>
    </row>
    <row r="382" spans="1:11" x14ac:dyDescent="0.3">
      <c r="A382">
        <v>381</v>
      </c>
      <c r="B382" t="s">
        <v>400</v>
      </c>
      <c r="C382" t="s">
        <v>26</v>
      </c>
      <c r="D382">
        <v>2008</v>
      </c>
      <c r="E382" t="s">
        <v>28</v>
      </c>
      <c r="F382" t="s">
        <v>61</v>
      </c>
      <c r="G382">
        <v>2.11</v>
      </c>
      <c r="H382">
        <v>1.01</v>
      </c>
      <c r="I382">
        <v>0.01</v>
      </c>
      <c r="J382">
        <v>0.35</v>
      </c>
      <c r="K382">
        <v>3.48</v>
      </c>
    </row>
    <row r="383" spans="1:11" x14ac:dyDescent="0.3">
      <c r="A383">
        <v>382</v>
      </c>
      <c r="B383" t="s">
        <v>331</v>
      </c>
      <c r="C383" t="s">
        <v>140</v>
      </c>
      <c r="D383">
        <v>2014</v>
      </c>
      <c r="E383" t="s">
        <v>43</v>
      </c>
      <c r="F383" t="s">
        <v>92</v>
      </c>
      <c r="G383">
        <v>2.2599999999999998</v>
      </c>
      <c r="H383">
        <v>0.89</v>
      </c>
      <c r="I383">
        <v>0</v>
      </c>
      <c r="J383">
        <v>0.3</v>
      </c>
      <c r="K383">
        <v>3.46</v>
      </c>
    </row>
    <row r="384" spans="1:11" x14ac:dyDescent="0.3">
      <c r="A384">
        <v>383</v>
      </c>
      <c r="B384" t="s">
        <v>401</v>
      </c>
      <c r="C384" t="s">
        <v>42</v>
      </c>
      <c r="D384">
        <v>2012</v>
      </c>
      <c r="E384" t="s">
        <v>31</v>
      </c>
      <c r="F384" t="s">
        <v>92</v>
      </c>
      <c r="G384">
        <v>0.88</v>
      </c>
      <c r="H384">
        <v>1.75</v>
      </c>
      <c r="I384">
        <v>0.1</v>
      </c>
      <c r="J384">
        <v>0.72</v>
      </c>
      <c r="K384">
        <v>3.45</v>
      </c>
    </row>
    <row r="385" spans="1:11" x14ac:dyDescent="0.3">
      <c r="A385">
        <v>384</v>
      </c>
      <c r="B385" t="s">
        <v>402</v>
      </c>
      <c r="C385" t="s">
        <v>65</v>
      </c>
      <c r="D385">
        <v>2013</v>
      </c>
      <c r="E385" t="s">
        <v>22</v>
      </c>
      <c r="F385" t="s">
        <v>175</v>
      </c>
      <c r="G385">
        <v>0</v>
      </c>
      <c r="H385">
        <v>0</v>
      </c>
      <c r="I385">
        <v>3.44</v>
      </c>
      <c r="J385">
        <v>0</v>
      </c>
      <c r="K385">
        <v>3.44</v>
      </c>
    </row>
    <row r="386" spans="1:11" x14ac:dyDescent="0.3">
      <c r="A386">
        <v>385</v>
      </c>
      <c r="B386" t="s">
        <v>403</v>
      </c>
      <c r="C386" t="s">
        <v>39</v>
      </c>
      <c r="D386">
        <v>2009</v>
      </c>
      <c r="E386" t="s">
        <v>31</v>
      </c>
      <c r="F386" t="s">
        <v>44</v>
      </c>
      <c r="G386">
        <v>2.39</v>
      </c>
      <c r="H386">
        <v>0.73</v>
      </c>
      <c r="I386">
        <v>0.03</v>
      </c>
      <c r="J386">
        <v>0.28999999999999998</v>
      </c>
      <c r="K386">
        <v>3.44</v>
      </c>
    </row>
    <row r="387" spans="1:11" x14ac:dyDescent="0.3">
      <c r="A387">
        <v>386</v>
      </c>
      <c r="B387" t="s">
        <v>404</v>
      </c>
      <c r="C387" t="s">
        <v>46</v>
      </c>
      <c r="D387">
        <v>2002</v>
      </c>
      <c r="E387" t="s">
        <v>72</v>
      </c>
      <c r="F387" t="s">
        <v>295</v>
      </c>
      <c r="G387">
        <v>1.55</v>
      </c>
      <c r="H387">
        <v>1.27</v>
      </c>
      <c r="I387">
        <v>0.33</v>
      </c>
      <c r="J387">
        <v>0.28999999999999998</v>
      </c>
      <c r="K387">
        <v>3.44</v>
      </c>
    </row>
    <row r="388" spans="1:11" x14ac:dyDescent="0.3">
      <c r="A388">
        <v>387</v>
      </c>
      <c r="B388" t="s">
        <v>362</v>
      </c>
      <c r="C388" t="s">
        <v>67</v>
      </c>
      <c r="D388">
        <v>2013</v>
      </c>
      <c r="E388" t="s">
        <v>31</v>
      </c>
      <c r="F388" t="s">
        <v>110</v>
      </c>
      <c r="G388">
        <v>1.34</v>
      </c>
      <c r="H388">
        <v>1.54</v>
      </c>
      <c r="I388">
        <v>0.17</v>
      </c>
      <c r="J388">
        <v>0.38</v>
      </c>
      <c r="K388">
        <v>3.43</v>
      </c>
    </row>
    <row r="389" spans="1:11" x14ac:dyDescent="0.3">
      <c r="A389">
        <v>388</v>
      </c>
      <c r="B389" t="s">
        <v>405</v>
      </c>
      <c r="C389" t="s">
        <v>42</v>
      </c>
      <c r="D389">
        <v>2011</v>
      </c>
      <c r="E389" t="s">
        <v>2</v>
      </c>
      <c r="F389" t="s">
        <v>59</v>
      </c>
      <c r="G389">
        <v>1.82</v>
      </c>
      <c r="H389">
        <v>1.07</v>
      </c>
      <c r="I389">
        <v>0.06</v>
      </c>
      <c r="J389">
        <v>0.47</v>
      </c>
      <c r="K389">
        <v>3.42</v>
      </c>
    </row>
    <row r="390" spans="1:11" x14ac:dyDescent="0.3">
      <c r="A390">
        <v>389</v>
      </c>
      <c r="B390" t="s">
        <v>406</v>
      </c>
      <c r="C390" t="s">
        <v>86</v>
      </c>
      <c r="D390">
        <v>1998</v>
      </c>
      <c r="E390" t="s">
        <v>43</v>
      </c>
      <c r="F390" t="s">
        <v>44</v>
      </c>
      <c r="G390">
        <v>1.1299999999999999</v>
      </c>
      <c r="H390">
        <v>2.0699999999999998</v>
      </c>
      <c r="I390">
        <v>0</v>
      </c>
      <c r="J390">
        <v>0.22</v>
      </c>
      <c r="K390">
        <v>3.42</v>
      </c>
    </row>
    <row r="391" spans="1:11" x14ac:dyDescent="0.3">
      <c r="A391">
        <v>390</v>
      </c>
      <c r="B391" t="s">
        <v>407</v>
      </c>
      <c r="C391" t="s">
        <v>48</v>
      </c>
      <c r="D391">
        <v>1994</v>
      </c>
      <c r="E391" t="s">
        <v>22</v>
      </c>
      <c r="F391" t="s">
        <v>124</v>
      </c>
      <c r="G391">
        <v>0.86</v>
      </c>
      <c r="H391">
        <v>0</v>
      </c>
      <c r="I391">
        <v>2.5499999999999998</v>
      </c>
      <c r="J391">
        <v>0.02</v>
      </c>
      <c r="K391">
        <v>3.42</v>
      </c>
    </row>
    <row r="392" spans="1:11" x14ac:dyDescent="0.3">
      <c r="A392">
        <v>391</v>
      </c>
      <c r="B392" t="s">
        <v>408</v>
      </c>
      <c r="C392" t="s">
        <v>46</v>
      </c>
      <c r="D392">
        <v>2004</v>
      </c>
      <c r="E392" t="s">
        <v>43</v>
      </c>
      <c r="F392" t="s">
        <v>61</v>
      </c>
      <c r="G392">
        <v>1.75</v>
      </c>
      <c r="H392">
        <v>1.2</v>
      </c>
      <c r="I392">
        <v>0.02</v>
      </c>
      <c r="J392">
        <v>0.43</v>
      </c>
      <c r="K392">
        <v>3.41</v>
      </c>
    </row>
    <row r="393" spans="1:11" x14ac:dyDescent="0.3">
      <c r="A393">
        <v>392</v>
      </c>
      <c r="B393" t="s">
        <v>409</v>
      </c>
      <c r="C393" t="s">
        <v>21</v>
      </c>
      <c r="D393">
        <v>1990</v>
      </c>
      <c r="E393" t="s">
        <v>18</v>
      </c>
      <c r="F393" t="s">
        <v>14</v>
      </c>
      <c r="G393">
        <v>1.73</v>
      </c>
      <c r="H393">
        <v>0.69</v>
      </c>
      <c r="I393">
        <v>0.59</v>
      </c>
      <c r="J393">
        <v>0.4</v>
      </c>
      <c r="K393">
        <v>3.41</v>
      </c>
    </row>
    <row r="394" spans="1:11" x14ac:dyDescent="0.3">
      <c r="A394">
        <v>393</v>
      </c>
      <c r="B394" t="s">
        <v>410</v>
      </c>
      <c r="C394" t="s">
        <v>46</v>
      </c>
      <c r="D394">
        <v>2002</v>
      </c>
      <c r="E394" t="s">
        <v>13</v>
      </c>
      <c r="F394" t="s">
        <v>110</v>
      </c>
      <c r="G394">
        <v>0.46</v>
      </c>
      <c r="H394">
        <v>2.2799999999999998</v>
      </c>
      <c r="I394">
        <v>0.05</v>
      </c>
      <c r="J394">
        <v>0.61</v>
      </c>
      <c r="K394">
        <v>3.4</v>
      </c>
    </row>
    <row r="395" spans="1:11" x14ac:dyDescent="0.3">
      <c r="A395">
        <v>394</v>
      </c>
      <c r="B395" t="s">
        <v>411</v>
      </c>
      <c r="C395" t="s">
        <v>86</v>
      </c>
      <c r="D395">
        <v>2000</v>
      </c>
      <c r="E395" t="s">
        <v>28</v>
      </c>
      <c r="F395" t="s">
        <v>59</v>
      </c>
      <c r="G395">
        <v>1.56</v>
      </c>
      <c r="H395">
        <v>1.47</v>
      </c>
      <c r="I395">
        <v>0.19</v>
      </c>
      <c r="J395">
        <v>0.17</v>
      </c>
      <c r="K395">
        <v>3.39</v>
      </c>
    </row>
    <row r="396" spans="1:11" x14ac:dyDescent="0.3">
      <c r="A396">
        <v>395</v>
      </c>
      <c r="B396" t="s">
        <v>412</v>
      </c>
      <c r="C396" t="s">
        <v>39</v>
      </c>
      <c r="D396">
        <v>2008</v>
      </c>
      <c r="E396" t="s">
        <v>43</v>
      </c>
      <c r="F396" t="s">
        <v>205</v>
      </c>
      <c r="G396">
        <v>2.0299999999999998</v>
      </c>
      <c r="H396">
        <v>1.03</v>
      </c>
      <c r="I396">
        <v>0</v>
      </c>
      <c r="J396">
        <v>0.32</v>
      </c>
      <c r="K396">
        <v>3.38</v>
      </c>
    </row>
    <row r="397" spans="1:11" x14ac:dyDescent="0.3">
      <c r="A397">
        <v>396</v>
      </c>
      <c r="B397" t="s">
        <v>413</v>
      </c>
      <c r="C397" t="s">
        <v>67</v>
      </c>
      <c r="D397">
        <v>2015</v>
      </c>
      <c r="E397" t="s">
        <v>43</v>
      </c>
      <c r="F397" t="s">
        <v>183</v>
      </c>
      <c r="G397">
        <v>1.08</v>
      </c>
      <c r="H397">
        <v>1.35</v>
      </c>
      <c r="I397">
        <v>0.48</v>
      </c>
      <c r="J397">
        <v>0.47</v>
      </c>
      <c r="K397">
        <v>3.38</v>
      </c>
    </row>
    <row r="398" spans="1:11" x14ac:dyDescent="0.3">
      <c r="A398">
        <v>397</v>
      </c>
      <c r="B398" t="s">
        <v>414</v>
      </c>
      <c r="C398" t="s">
        <v>26</v>
      </c>
      <c r="D398">
        <v>2009</v>
      </c>
      <c r="E398" t="s">
        <v>43</v>
      </c>
      <c r="F398" t="s">
        <v>14</v>
      </c>
      <c r="G398">
        <v>1.43</v>
      </c>
      <c r="H398">
        <v>0.94</v>
      </c>
      <c r="I398">
        <v>0.74</v>
      </c>
      <c r="J398">
        <v>0.27</v>
      </c>
      <c r="K398">
        <v>3.38</v>
      </c>
    </row>
    <row r="399" spans="1:11" x14ac:dyDescent="0.3">
      <c r="A399">
        <v>398</v>
      </c>
      <c r="B399" t="s">
        <v>415</v>
      </c>
      <c r="C399" t="s">
        <v>86</v>
      </c>
      <c r="D399">
        <v>1998</v>
      </c>
      <c r="E399" t="s">
        <v>72</v>
      </c>
      <c r="F399" t="s">
        <v>416</v>
      </c>
      <c r="G399">
        <v>2.4700000000000002</v>
      </c>
      <c r="H399">
        <v>0.76</v>
      </c>
      <c r="I399">
        <v>0</v>
      </c>
      <c r="J399">
        <v>0.13</v>
      </c>
      <c r="K399">
        <v>3.36</v>
      </c>
    </row>
    <row r="400" spans="1:11" x14ac:dyDescent="0.3">
      <c r="A400">
        <v>399</v>
      </c>
      <c r="B400" t="s">
        <v>417</v>
      </c>
      <c r="C400" t="s">
        <v>78</v>
      </c>
      <c r="D400">
        <v>2000</v>
      </c>
      <c r="E400" t="s">
        <v>43</v>
      </c>
      <c r="F400" t="s">
        <v>14</v>
      </c>
      <c r="G400">
        <v>1.9</v>
      </c>
      <c r="H400">
        <v>0.67</v>
      </c>
      <c r="I400">
        <v>0.73</v>
      </c>
      <c r="J400">
        <v>0.06</v>
      </c>
      <c r="K400">
        <v>3.36</v>
      </c>
    </row>
    <row r="401" spans="1:11" x14ac:dyDescent="0.3">
      <c r="A401">
        <v>400</v>
      </c>
      <c r="B401" t="s">
        <v>418</v>
      </c>
      <c r="C401" t="s">
        <v>26</v>
      </c>
      <c r="D401">
        <v>2008</v>
      </c>
      <c r="E401" t="s">
        <v>24</v>
      </c>
      <c r="F401" t="s">
        <v>14</v>
      </c>
      <c r="G401">
        <v>0.65</v>
      </c>
      <c r="H401">
        <v>1.61</v>
      </c>
      <c r="I401">
        <v>0.82</v>
      </c>
      <c r="J401">
        <v>0.28000000000000003</v>
      </c>
      <c r="K401">
        <v>3.36</v>
      </c>
    </row>
    <row r="402" spans="1:11" x14ac:dyDescent="0.3">
      <c r="A402">
        <v>401</v>
      </c>
      <c r="B402" t="s">
        <v>419</v>
      </c>
      <c r="C402" t="s">
        <v>86</v>
      </c>
      <c r="D402">
        <v>1998</v>
      </c>
      <c r="E402" t="s">
        <v>83</v>
      </c>
      <c r="F402" t="s">
        <v>384</v>
      </c>
      <c r="G402">
        <v>1.63</v>
      </c>
      <c r="H402">
        <v>1.53</v>
      </c>
      <c r="I402">
        <v>0</v>
      </c>
      <c r="J402">
        <v>0.18</v>
      </c>
      <c r="K402">
        <v>3.34</v>
      </c>
    </row>
    <row r="403" spans="1:11" x14ac:dyDescent="0.3">
      <c r="A403">
        <v>402</v>
      </c>
      <c r="B403" t="s">
        <v>334</v>
      </c>
      <c r="C403" t="s">
        <v>39</v>
      </c>
      <c r="D403">
        <v>2013</v>
      </c>
      <c r="E403" t="s">
        <v>43</v>
      </c>
      <c r="F403" t="s">
        <v>92</v>
      </c>
      <c r="G403">
        <v>1.9</v>
      </c>
      <c r="H403">
        <v>1.1399999999999999</v>
      </c>
      <c r="I403">
        <v>0.01</v>
      </c>
      <c r="J403">
        <v>0.28999999999999998</v>
      </c>
      <c r="K403">
        <v>3.34</v>
      </c>
    </row>
    <row r="404" spans="1:11" x14ac:dyDescent="0.3">
      <c r="A404">
        <v>403</v>
      </c>
      <c r="B404" t="s">
        <v>420</v>
      </c>
      <c r="C404" t="s">
        <v>26</v>
      </c>
      <c r="D404">
        <v>2006</v>
      </c>
      <c r="E404" t="s">
        <v>28</v>
      </c>
      <c r="F404" t="s">
        <v>14</v>
      </c>
      <c r="G404">
        <v>0</v>
      </c>
      <c r="H404">
        <v>0.99</v>
      </c>
      <c r="I404">
        <v>2.3199999999999998</v>
      </c>
      <c r="J404">
        <v>0.02</v>
      </c>
      <c r="K404">
        <v>3.33</v>
      </c>
    </row>
    <row r="405" spans="1:11" x14ac:dyDescent="0.3">
      <c r="A405">
        <v>404</v>
      </c>
      <c r="B405" t="s">
        <v>421</v>
      </c>
      <c r="C405" t="s">
        <v>46</v>
      </c>
      <c r="D405">
        <v>2002</v>
      </c>
      <c r="E405" t="s">
        <v>31</v>
      </c>
      <c r="F405" t="s">
        <v>110</v>
      </c>
      <c r="G405">
        <v>1.45</v>
      </c>
      <c r="H405">
        <v>1.29</v>
      </c>
      <c r="I405">
        <v>0.12</v>
      </c>
      <c r="J405">
        <v>0.46</v>
      </c>
      <c r="K405">
        <v>3.33</v>
      </c>
    </row>
    <row r="406" spans="1:11" x14ac:dyDescent="0.3">
      <c r="A406">
        <v>405</v>
      </c>
      <c r="B406" t="s">
        <v>422</v>
      </c>
      <c r="C406" t="s">
        <v>46</v>
      </c>
      <c r="D406">
        <v>2002</v>
      </c>
      <c r="E406" t="s">
        <v>2</v>
      </c>
      <c r="F406" t="s">
        <v>59</v>
      </c>
      <c r="G406">
        <v>1.44</v>
      </c>
      <c r="H406">
        <v>1.01</v>
      </c>
      <c r="I406">
        <v>0.56999999999999995</v>
      </c>
      <c r="J406">
        <v>0.3</v>
      </c>
      <c r="K406">
        <v>3.33</v>
      </c>
    </row>
    <row r="407" spans="1:11" x14ac:dyDescent="0.3">
      <c r="A407">
        <v>406</v>
      </c>
      <c r="B407" t="s">
        <v>423</v>
      </c>
      <c r="C407" t="s">
        <v>12</v>
      </c>
      <c r="D407">
        <v>2012</v>
      </c>
      <c r="E407" t="s">
        <v>28</v>
      </c>
      <c r="F407" t="s">
        <v>14</v>
      </c>
      <c r="G407">
        <v>1.1499999999999999</v>
      </c>
      <c r="H407">
        <v>1.17</v>
      </c>
      <c r="I407">
        <v>0.76</v>
      </c>
      <c r="J407">
        <v>0.24</v>
      </c>
      <c r="K407">
        <v>3.32</v>
      </c>
    </row>
    <row r="408" spans="1:11" x14ac:dyDescent="0.3">
      <c r="A408">
        <v>407</v>
      </c>
      <c r="B408" t="s">
        <v>424</v>
      </c>
      <c r="C408" t="s">
        <v>46</v>
      </c>
      <c r="D408">
        <v>2005</v>
      </c>
      <c r="E408" t="s">
        <v>43</v>
      </c>
      <c r="F408" t="s">
        <v>195</v>
      </c>
      <c r="G408">
        <v>1.47</v>
      </c>
      <c r="H408">
        <v>1.39</v>
      </c>
      <c r="I408">
        <v>0.03</v>
      </c>
      <c r="J408">
        <v>0.43</v>
      </c>
      <c r="K408">
        <v>3.32</v>
      </c>
    </row>
    <row r="409" spans="1:11" x14ac:dyDescent="0.3">
      <c r="A409">
        <v>408</v>
      </c>
      <c r="B409" t="s">
        <v>425</v>
      </c>
      <c r="C409" t="s">
        <v>46</v>
      </c>
      <c r="D409">
        <v>2001</v>
      </c>
      <c r="E409" t="s">
        <v>31</v>
      </c>
      <c r="F409" t="s">
        <v>44</v>
      </c>
      <c r="G409">
        <v>1.99</v>
      </c>
      <c r="H409">
        <v>1.05</v>
      </c>
      <c r="I409">
        <v>0.05</v>
      </c>
      <c r="J409">
        <v>0.22</v>
      </c>
      <c r="K409">
        <v>3.31</v>
      </c>
    </row>
    <row r="410" spans="1:11" x14ac:dyDescent="0.3">
      <c r="A410">
        <v>409</v>
      </c>
      <c r="B410" t="s">
        <v>426</v>
      </c>
      <c r="C410" t="s">
        <v>46</v>
      </c>
      <c r="D410">
        <v>2003</v>
      </c>
      <c r="E410" t="s">
        <v>43</v>
      </c>
      <c r="F410" t="s">
        <v>110</v>
      </c>
      <c r="G410">
        <v>1.5</v>
      </c>
      <c r="H410">
        <v>1.28</v>
      </c>
      <c r="I410">
        <v>0.05</v>
      </c>
      <c r="J410">
        <v>0.46</v>
      </c>
      <c r="K410">
        <v>3.28</v>
      </c>
    </row>
    <row r="411" spans="1:11" x14ac:dyDescent="0.3">
      <c r="A411">
        <v>410</v>
      </c>
      <c r="B411" t="s">
        <v>427</v>
      </c>
      <c r="C411" t="s">
        <v>67</v>
      </c>
      <c r="D411">
        <v>2015</v>
      </c>
      <c r="E411" t="s">
        <v>43</v>
      </c>
      <c r="F411" t="s">
        <v>92</v>
      </c>
      <c r="G411">
        <v>0.8</v>
      </c>
      <c r="H411">
        <v>1.92</v>
      </c>
      <c r="I411">
        <v>0.06</v>
      </c>
      <c r="J411">
        <v>0.5</v>
      </c>
      <c r="K411">
        <v>3.28</v>
      </c>
    </row>
    <row r="412" spans="1:11" x14ac:dyDescent="0.3">
      <c r="A412">
        <v>411</v>
      </c>
      <c r="B412" t="s">
        <v>200</v>
      </c>
      <c r="C412" t="s">
        <v>140</v>
      </c>
      <c r="D412">
        <v>2014</v>
      </c>
      <c r="E412" t="s">
        <v>31</v>
      </c>
      <c r="F412" t="s">
        <v>61</v>
      </c>
      <c r="G412">
        <v>2.13</v>
      </c>
      <c r="H412">
        <v>0.92</v>
      </c>
      <c r="I412">
        <v>0</v>
      </c>
      <c r="J412">
        <v>0.23</v>
      </c>
      <c r="K412">
        <v>3.28</v>
      </c>
    </row>
    <row r="413" spans="1:11" x14ac:dyDescent="0.3">
      <c r="A413">
        <v>412</v>
      </c>
      <c r="B413" t="s">
        <v>428</v>
      </c>
      <c r="C413" t="s">
        <v>46</v>
      </c>
      <c r="D413">
        <v>2003</v>
      </c>
      <c r="E413" t="s">
        <v>43</v>
      </c>
      <c r="F413" t="s">
        <v>61</v>
      </c>
      <c r="G413">
        <v>1.89</v>
      </c>
      <c r="H413">
        <v>1.05</v>
      </c>
      <c r="I413">
        <v>0.02</v>
      </c>
      <c r="J413">
        <v>0.31</v>
      </c>
      <c r="K413">
        <v>3.27</v>
      </c>
    </row>
    <row r="414" spans="1:11" x14ac:dyDescent="0.3">
      <c r="A414">
        <v>413</v>
      </c>
      <c r="B414" t="s">
        <v>429</v>
      </c>
      <c r="C414" t="s">
        <v>12</v>
      </c>
      <c r="D414">
        <v>2008</v>
      </c>
      <c r="E414" t="s">
        <v>28</v>
      </c>
      <c r="F414" t="s">
        <v>14</v>
      </c>
      <c r="G414">
        <v>1.36</v>
      </c>
      <c r="H414">
        <v>1.1299999999999999</v>
      </c>
      <c r="I414">
        <v>0.46</v>
      </c>
      <c r="J414">
        <v>0.32</v>
      </c>
      <c r="K414">
        <v>3.27</v>
      </c>
    </row>
    <row r="415" spans="1:11" x14ac:dyDescent="0.3">
      <c r="A415">
        <v>414</v>
      </c>
      <c r="B415" t="s">
        <v>430</v>
      </c>
      <c r="C415" t="s">
        <v>129</v>
      </c>
      <c r="D415">
        <v>2009</v>
      </c>
      <c r="E415" t="s">
        <v>18</v>
      </c>
      <c r="F415" t="s">
        <v>59</v>
      </c>
      <c r="G415">
        <v>0.5</v>
      </c>
      <c r="H415">
        <v>1.59</v>
      </c>
      <c r="I415">
        <v>0.31</v>
      </c>
      <c r="J415">
        <v>0.87</v>
      </c>
      <c r="K415">
        <v>3.27</v>
      </c>
    </row>
    <row r="416" spans="1:11" x14ac:dyDescent="0.3">
      <c r="A416">
        <v>415</v>
      </c>
      <c r="B416" t="s">
        <v>431</v>
      </c>
      <c r="C416" t="s">
        <v>65</v>
      </c>
      <c r="D416">
        <v>2015</v>
      </c>
      <c r="E416" t="s">
        <v>43</v>
      </c>
      <c r="F416" t="s">
        <v>175</v>
      </c>
      <c r="G416">
        <v>0.25</v>
      </c>
      <c r="H416">
        <v>0.19</v>
      </c>
      <c r="I416">
        <v>2.78</v>
      </c>
      <c r="J416">
        <v>0.04</v>
      </c>
      <c r="K416">
        <v>3.26</v>
      </c>
    </row>
    <row r="417" spans="1:11" x14ac:dyDescent="0.3">
      <c r="A417">
        <v>416</v>
      </c>
      <c r="B417" t="s">
        <v>432</v>
      </c>
      <c r="C417" t="s">
        <v>86</v>
      </c>
      <c r="D417">
        <v>1995</v>
      </c>
      <c r="E417" t="s">
        <v>72</v>
      </c>
      <c r="F417" t="s">
        <v>59</v>
      </c>
      <c r="G417">
        <v>0.95</v>
      </c>
      <c r="H417">
        <v>1.3</v>
      </c>
      <c r="I417">
        <v>0.77</v>
      </c>
      <c r="J417">
        <v>0.22</v>
      </c>
      <c r="K417">
        <v>3.24</v>
      </c>
    </row>
    <row r="418" spans="1:11" x14ac:dyDescent="0.3">
      <c r="A418">
        <v>417</v>
      </c>
      <c r="B418" t="s">
        <v>109</v>
      </c>
      <c r="C418" t="s">
        <v>140</v>
      </c>
      <c r="D418">
        <v>2015</v>
      </c>
      <c r="E418" t="s">
        <v>13</v>
      </c>
      <c r="F418" t="s">
        <v>110</v>
      </c>
      <c r="G418">
        <v>0.88</v>
      </c>
      <c r="H418">
        <v>2.11</v>
      </c>
      <c r="I418">
        <v>0</v>
      </c>
      <c r="J418">
        <v>0.23</v>
      </c>
      <c r="K418">
        <v>3.23</v>
      </c>
    </row>
    <row r="419" spans="1:11" x14ac:dyDescent="0.3">
      <c r="A419">
        <v>418</v>
      </c>
      <c r="B419" t="s">
        <v>433</v>
      </c>
      <c r="C419" t="s">
        <v>42</v>
      </c>
      <c r="D419">
        <v>2011</v>
      </c>
      <c r="E419" t="s">
        <v>83</v>
      </c>
      <c r="F419" t="s">
        <v>44</v>
      </c>
      <c r="G419">
        <v>1.27</v>
      </c>
      <c r="H419">
        <v>1.33</v>
      </c>
      <c r="I419">
        <v>0.12</v>
      </c>
      <c r="J419">
        <v>0.51</v>
      </c>
      <c r="K419">
        <v>3.23</v>
      </c>
    </row>
    <row r="420" spans="1:11" x14ac:dyDescent="0.3">
      <c r="A420">
        <v>419</v>
      </c>
      <c r="B420" t="s">
        <v>434</v>
      </c>
      <c r="C420" t="s">
        <v>67</v>
      </c>
      <c r="D420">
        <v>2015</v>
      </c>
      <c r="E420" t="s">
        <v>13</v>
      </c>
      <c r="F420" t="s">
        <v>110</v>
      </c>
      <c r="G420">
        <v>2.33</v>
      </c>
      <c r="H420">
        <v>0.3</v>
      </c>
      <c r="I420">
        <v>0</v>
      </c>
      <c r="J420">
        <v>0.59</v>
      </c>
      <c r="K420">
        <v>3.22</v>
      </c>
    </row>
    <row r="421" spans="1:11" x14ac:dyDescent="0.3">
      <c r="A421">
        <v>420</v>
      </c>
      <c r="B421" t="s">
        <v>435</v>
      </c>
      <c r="C421" t="s">
        <v>65</v>
      </c>
      <c r="D421">
        <v>2014</v>
      </c>
      <c r="E421" t="s">
        <v>22</v>
      </c>
      <c r="F421" t="s">
        <v>14</v>
      </c>
      <c r="G421">
        <v>0.03</v>
      </c>
      <c r="H421">
        <v>0</v>
      </c>
      <c r="I421">
        <v>3.18</v>
      </c>
      <c r="J421">
        <v>0</v>
      </c>
      <c r="K421">
        <v>3.22</v>
      </c>
    </row>
    <row r="422" spans="1:11" x14ac:dyDescent="0.3">
      <c r="A422">
        <v>421</v>
      </c>
      <c r="B422" t="s">
        <v>436</v>
      </c>
      <c r="C422" t="s">
        <v>86</v>
      </c>
      <c r="D422">
        <v>1999</v>
      </c>
      <c r="E422" t="s">
        <v>31</v>
      </c>
      <c r="F422" t="s">
        <v>110</v>
      </c>
      <c r="G422">
        <v>1.72</v>
      </c>
      <c r="H422">
        <v>1.33</v>
      </c>
      <c r="I422">
        <v>0</v>
      </c>
      <c r="J422">
        <v>0.16</v>
      </c>
      <c r="K422">
        <v>3.21</v>
      </c>
    </row>
    <row r="423" spans="1:11" x14ac:dyDescent="0.3">
      <c r="A423">
        <v>422</v>
      </c>
      <c r="B423" t="s">
        <v>437</v>
      </c>
      <c r="C423" t="s">
        <v>16</v>
      </c>
      <c r="D423">
        <v>1983</v>
      </c>
      <c r="E423" t="s">
        <v>13</v>
      </c>
      <c r="F423" t="s">
        <v>14</v>
      </c>
      <c r="G423">
        <v>0.73</v>
      </c>
      <c r="H423">
        <v>0.1</v>
      </c>
      <c r="I423">
        <v>2.35</v>
      </c>
      <c r="J423">
        <v>0.02</v>
      </c>
      <c r="K423">
        <v>3.2</v>
      </c>
    </row>
    <row r="424" spans="1:11" x14ac:dyDescent="0.3">
      <c r="A424">
        <v>423</v>
      </c>
      <c r="B424" t="s">
        <v>438</v>
      </c>
      <c r="C424" t="s">
        <v>48</v>
      </c>
      <c r="D424">
        <v>1995</v>
      </c>
      <c r="E424" t="s">
        <v>72</v>
      </c>
      <c r="F424" t="s">
        <v>14</v>
      </c>
      <c r="G424">
        <v>2.2599999999999998</v>
      </c>
      <c r="H424">
        <v>0.72</v>
      </c>
      <c r="I424">
        <v>0.12</v>
      </c>
      <c r="J424">
        <v>0.1</v>
      </c>
      <c r="K424">
        <v>3.2</v>
      </c>
    </row>
    <row r="425" spans="1:11" x14ac:dyDescent="0.3">
      <c r="A425">
        <v>424</v>
      </c>
      <c r="B425" t="s">
        <v>439</v>
      </c>
      <c r="C425" t="s">
        <v>86</v>
      </c>
      <c r="D425">
        <v>2000</v>
      </c>
      <c r="E425" t="s">
        <v>72</v>
      </c>
      <c r="F425" t="s">
        <v>384</v>
      </c>
      <c r="G425">
        <v>1.76</v>
      </c>
      <c r="H425">
        <v>1.21</v>
      </c>
      <c r="I425">
        <v>7.0000000000000007E-2</v>
      </c>
      <c r="J425">
        <v>0.16</v>
      </c>
      <c r="K425">
        <v>3.2</v>
      </c>
    </row>
    <row r="426" spans="1:11" x14ac:dyDescent="0.3">
      <c r="A426">
        <v>425</v>
      </c>
      <c r="B426" t="s">
        <v>440</v>
      </c>
      <c r="C426" t="s">
        <v>129</v>
      </c>
      <c r="D426">
        <v>2007</v>
      </c>
      <c r="E426" t="s">
        <v>22</v>
      </c>
      <c r="F426" t="s">
        <v>191</v>
      </c>
      <c r="G426">
        <v>1.35</v>
      </c>
      <c r="H426">
        <v>0.6</v>
      </c>
      <c r="I426">
        <v>0.8</v>
      </c>
      <c r="J426">
        <v>0.44</v>
      </c>
      <c r="K426">
        <v>3.19</v>
      </c>
    </row>
    <row r="427" spans="1:11" x14ac:dyDescent="0.3">
      <c r="A427">
        <v>426</v>
      </c>
      <c r="B427" t="s">
        <v>441</v>
      </c>
      <c r="C427" t="s">
        <v>129</v>
      </c>
      <c r="D427">
        <v>2008</v>
      </c>
      <c r="E427" t="s">
        <v>43</v>
      </c>
      <c r="F427" t="s">
        <v>59</v>
      </c>
      <c r="G427">
        <v>1.48</v>
      </c>
      <c r="H427">
        <v>1.01</v>
      </c>
      <c r="I427">
        <v>0.04</v>
      </c>
      <c r="J427">
        <v>0.66</v>
      </c>
      <c r="K427">
        <v>3.19</v>
      </c>
    </row>
    <row r="428" spans="1:11" x14ac:dyDescent="0.3">
      <c r="A428">
        <v>427</v>
      </c>
      <c r="B428" t="s">
        <v>442</v>
      </c>
      <c r="C428" t="s">
        <v>48</v>
      </c>
      <c r="D428">
        <v>1995</v>
      </c>
      <c r="E428" t="s">
        <v>22</v>
      </c>
      <c r="F428" t="s">
        <v>275</v>
      </c>
      <c r="G428">
        <v>0</v>
      </c>
      <c r="H428">
        <v>0</v>
      </c>
      <c r="I428">
        <v>3.19</v>
      </c>
      <c r="J428">
        <v>0</v>
      </c>
      <c r="K428">
        <v>3.19</v>
      </c>
    </row>
    <row r="429" spans="1:11" x14ac:dyDescent="0.3">
      <c r="A429">
        <v>428</v>
      </c>
      <c r="B429" t="s">
        <v>443</v>
      </c>
      <c r="C429" t="s">
        <v>39</v>
      </c>
      <c r="D429">
        <v>2010</v>
      </c>
      <c r="E429" t="s">
        <v>28</v>
      </c>
      <c r="F429" t="s">
        <v>444</v>
      </c>
      <c r="G429">
        <v>2.15</v>
      </c>
      <c r="H429">
        <v>0.77</v>
      </c>
      <c r="I429">
        <v>0.01</v>
      </c>
      <c r="J429">
        <v>0.26</v>
      </c>
      <c r="K429">
        <v>3.19</v>
      </c>
    </row>
    <row r="430" spans="1:11" x14ac:dyDescent="0.3">
      <c r="A430">
        <v>429</v>
      </c>
      <c r="B430" t="s">
        <v>445</v>
      </c>
      <c r="C430" t="s">
        <v>46</v>
      </c>
      <c r="D430">
        <v>2003</v>
      </c>
      <c r="E430" t="s">
        <v>43</v>
      </c>
      <c r="F430" t="s">
        <v>127</v>
      </c>
      <c r="G430">
        <v>1.78</v>
      </c>
      <c r="H430">
        <v>1.1200000000000001</v>
      </c>
      <c r="I430">
        <v>0.09</v>
      </c>
      <c r="J430">
        <v>0.19</v>
      </c>
      <c r="K430">
        <v>3.18</v>
      </c>
    </row>
    <row r="431" spans="1:11" x14ac:dyDescent="0.3">
      <c r="A431">
        <v>430</v>
      </c>
      <c r="B431" t="s">
        <v>446</v>
      </c>
      <c r="C431" t="s">
        <v>148</v>
      </c>
      <c r="D431">
        <v>2015</v>
      </c>
      <c r="E431" t="s">
        <v>2</v>
      </c>
      <c r="F431" t="s">
        <v>14</v>
      </c>
      <c r="G431">
        <v>1.18</v>
      </c>
      <c r="H431">
        <v>0.87</v>
      </c>
      <c r="I431">
        <v>0.93</v>
      </c>
      <c r="J431">
        <v>0.2</v>
      </c>
      <c r="K431">
        <v>3.18</v>
      </c>
    </row>
    <row r="432" spans="1:11" x14ac:dyDescent="0.3">
      <c r="A432">
        <v>431</v>
      </c>
      <c r="B432" t="s">
        <v>318</v>
      </c>
      <c r="C432" t="s">
        <v>42</v>
      </c>
      <c r="D432">
        <v>2010</v>
      </c>
      <c r="E432" t="s">
        <v>22</v>
      </c>
      <c r="F432" t="s">
        <v>107</v>
      </c>
      <c r="G432">
        <v>1.52</v>
      </c>
      <c r="H432">
        <v>1.08</v>
      </c>
      <c r="I432">
        <v>0.1</v>
      </c>
      <c r="J432">
        <v>0.47</v>
      </c>
      <c r="K432">
        <v>3.17</v>
      </c>
    </row>
    <row r="433" spans="1:11" x14ac:dyDescent="0.3">
      <c r="A433">
        <v>432</v>
      </c>
      <c r="B433" t="s">
        <v>412</v>
      </c>
      <c r="C433" t="s">
        <v>12</v>
      </c>
      <c r="D433" t="s">
        <v>224</v>
      </c>
      <c r="E433" t="s">
        <v>43</v>
      </c>
      <c r="F433" t="s">
        <v>205</v>
      </c>
      <c r="G433">
        <v>1.86</v>
      </c>
      <c r="H433">
        <v>1.02</v>
      </c>
      <c r="I433">
        <v>0</v>
      </c>
      <c r="J433">
        <v>0.28999999999999998</v>
      </c>
      <c r="K433">
        <v>3.17</v>
      </c>
    </row>
    <row r="434" spans="1:11" x14ac:dyDescent="0.3">
      <c r="A434">
        <v>433</v>
      </c>
      <c r="B434" t="s">
        <v>447</v>
      </c>
      <c r="C434" t="s">
        <v>26</v>
      </c>
      <c r="D434">
        <v>2008</v>
      </c>
      <c r="E434" t="s">
        <v>28</v>
      </c>
      <c r="F434" t="s">
        <v>14</v>
      </c>
      <c r="G434">
        <v>0.57999999999999996</v>
      </c>
      <c r="H434">
        <v>0.51</v>
      </c>
      <c r="I434">
        <v>1.93</v>
      </c>
      <c r="J434">
        <v>0.14000000000000001</v>
      </c>
      <c r="K434">
        <v>3.17</v>
      </c>
    </row>
    <row r="435" spans="1:11" x14ac:dyDescent="0.3">
      <c r="A435">
        <v>434</v>
      </c>
      <c r="B435" t="s">
        <v>448</v>
      </c>
      <c r="C435" t="s">
        <v>46</v>
      </c>
      <c r="D435">
        <v>2001</v>
      </c>
      <c r="E435" t="s">
        <v>33</v>
      </c>
      <c r="F435" t="s">
        <v>189</v>
      </c>
      <c r="G435">
        <v>2.06</v>
      </c>
      <c r="H435">
        <v>0.56000000000000005</v>
      </c>
      <c r="I435">
        <v>0.38</v>
      </c>
      <c r="J435">
        <v>0.17</v>
      </c>
      <c r="K435">
        <v>3.17</v>
      </c>
    </row>
    <row r="436" spans="1:11" x14ac:dyDescent="0.3">
      <c r="A436">
        <v>435</v>
      </c>
      <c r="B436" t="s">
        <v>449</v>
      </c>
      <c r="C436" t="s">
        <v>26</v>
      </c>
      <c r="D436">
        <v>2008</v>
      </c>
      <c r="E436" t="s">
        <v>83</v>
      </c>
      <c r="F436" t="s">
        <v>450</v>
      </c>
      <c r="G436">
        <v>1.88</v>
      </c>
      <c r="H436">
        <v>0.98</v>
      </c>
      <c r="I436">
        <v>0</v>
      </c>
      <c r="J436">
        <v>0.3</v>
      </c>
      <c r="K436">
        <v>3.16</v>
      </c>
    </row>
    <row r="437" spans="1:11" x14ac:dyDescent="0.3">
      <c r="A437">
        <v>436</v>
      </c>
      <c r="B437" t="s">
        <v>451</v>
      </c>
      <c r="C437" t="s">
        <v>146</v>
      </c>
      <c r="D437">
        <v>2001</v>
      </c>
      <c r="E437" t="s">
        <v>33</v>
      </c>
      <c r="F437" t="s">
        <v>14</v>
      </c>
      <c r="G437">
        <v>1.92</v>
      </c>
      <c r="H437">
        <v>0.16</v>
      </c>
      <c r="I437">
        <v>0.99</v>
      </c>
      <c r="J437">
        <v>0.09</v>
      </c>
      <c r="K437">
        <v>3.15</v>
      </c>
    </row>
    <row r="438" spans="1:11" x14ac:dyDescent="0.3">
      <c r="A438">
        <v>437</v>
      </c>
      <c r="B438" t="s">
        <v>412</v>
      </c>
      <c r="C438" t="s">
        <v>26</v>
      </c>
      <c r="D438">
        <v>2008</v>
      </c>
      <c r="E438" t="s">
        <v>43</v>
      </c>
      <c r="F438" t="s">
        <v>205</v>
      </c>
      <c r="G438">
        <v>1.79</v>
      </c>
      <c r="H438">
        <v>1.06</v>
      </c>
      <c r="I438">
        <v>0</v>
      </c>
      <c r="J438">
        <v>0.28999999999999998</v>
      </c>
      <c r="K438">
        <v>3.15</v>
      </c>
    </row>
    <row r="439" spans="1:11" x14ac:dyDescent="0.3">
      <c r="A439">
        <v>438</v>
      </c>
      <c r="B439" t="s">
        <v>452</v>
      </c>
      <c r="C439" t="s">
        <v>26</v>
      </c>
      <c r="D439">
        <v>2005</v>
      </c>
      <c r="E439" t="s">
        <v>2</v>
      </c>
      <c r="F439" t="s">
        <v>121</v>
      </c>
      <c r="G439">
        <v>1.22</v>
      </c>
      <c r="H439">
        <v>1.57</v>
      </c>
      <c r="I439">
        <v>0.06</v>
      </c>
      <c r="J439">
        <v>0.28999999999999998</v>
      </c>
      <c r="K439">
        <v>3.15</v>
      </c>
    </row>
    <row r="440" spans="1:11" x14ac:dyDescent="0.3">
      <c r="A440">
        <v>439</v>
      </c>
      <c r="B440" t="s">
        <v>453</v>
      </c>
      <c r="C440" t="s">
        <v>42</v>
      </c>
      <c r="D440">
        <v>2012</v>
      </c>
      <c r="E440" t="s">
        <v>31</v>
      </c>
      <c r="F440" t="s">
        <v>175</v>
      </c>
      <c r="G440">
        <v>0.88</v>
      </c>
      <c r="H440">
        <v>0.97</v>
      </c>
      <c r="I440">
        <v>0.88</v>
      </c>
      <c r="J440">
        <v>0.42</v>
      </c>
      <c r="K440">
        <v>3.15</v>
      </c>
    </row>
    <row r="441" spans="1:11" x14ac:dyDescent="0.3">
      <c r="A441">
        <v>440</v>
      </c>
      <c r="B441" t="s">
        <v>454</v>
      </c>
      <c r="C441" t="s">
        <v>140</v>
      </c>
      <c r="D441">
        <v>2014</v>
      </c>
      <c r="E441" t="s">
        <v>31</v>
      </c>
      <c r="F441" t="s">
        <v>40</v>
      </c>
      <c r="G441">
        <v>1.89</v>
      </c>
      <c r="H441">
        <v>0.99</v>
      </c>
      <c r="I441">
        <v>0.03</v>
      </c>
      <c r="J441">
        <v>0.24</v>
      </c>
      <c r="K441">
        <v>3.15</v>
      </c>
    </row>
    <row r="442" spans="1:11" x14ac:dyDescent="0.3">
      <c r="A442">
        <v>441</v>
      </c>
      <c r="B442" t="s">
        <v>455</v>
      </c>
      <c r="C442" t="s">
        <v>46</v>
      </c>
      <c r="D442">
        <v>2007</v>
      </c>
      <c r="E442" t="s">
        <v>13</v>
      </c>
      <c r="F442" t="s">
        <v>110</v>
      </c>
      <c r="G442">
        <v>0.68</v>
      </c>
      <c r="H442">
        <v>0</v>
      </c>
      <c r="I442">
        <v>0</v>
      </c>
      <c r="J442">
        <v>2.46</v>
      </c>
      <c r="K442">
        <v>3.14</v>
      </c>
    </row>
    <row r="443" spans="1:11" x14ac:dyDescent="0.3">
      <c r="A443">
        <v>442</v>
      </c>
      <c r="B443" t="s">
        <v>456</v>
      </c>
      <c r="C443" t="s">
        <v>86</v>
      </c>
      <c r="D443">
        <v>2000</v>
      </c>
      <c r="E443" t="s">
        <v>43</v>
      </c>
      <c r="F443" t="s">
        <v>61</v>
      </c>
      <c r="G443">
        <v>1.7</v>
      </c>
      <c r="H443">
        <v>1.25</v>
      </c>
      <c r="I443">
        <v>0.02</v>
      </c>
      <c r="J443">
        <v>0.16</v>
      </c>
      <c r="K443">
        <v>3.13</v>
      </c>
    </row>
    <row r="444" spans="1:11" x14ac:dyDescent="0.3">
      <c r="A444">
        <v>443</v>
      </c>
      <c r="B444" t="s">
        <v>457</v>
      </c>
      <c r="C444" t="s">
        <v>86</v>
      </c>
      <c r="D444">
        <v>1998</v>
      </c>
      <c r="E444" t="s">
        <v>18</v>
      </c>
      <c r="F444" t="s">
        <v>110</v>
      </c>
      <c r="G444">
        <v>2.14</v>
      </c>
      <c r="H444">
        <v>0.86</v>
      </c>
      <c r="I444">
        <v>0</v>
      </c>
      <c r="J444">
        <v>0.13</v>
      </c>
      <c r="K444">
        <v>3.12</v>
      </c>
    </row>
    <row r="445" spans="1:11" x14ac:dyDescent="0.3">
      <c r="A445">
        <v>444</v>
      </c>
      <c r="B445" t="s">
        <v>458</v>
      </c>
      <c r="C445" t="s">
        <v>78</v>
      </c>
      <c r="D445">
        <v>1999</v>
      </c>
      <c r="E445" t="s">
        <v>18</v>
      </c>
      <c r="F445" t="s">
        <v>14</v>
      </c>
      <c r="G445">
        <v>2.31</v>
      </c>
      <c r="H445">
        <v>0.62</v>
      </c>
      <c r="I445">
        <v>0.14000000000000001</v>
      </c>
      <c r="J445">
        <v>0.04</v>
      </c>
      <c r="K445">
        <v>3.12</v>
      </c>
    </row>
    <row r="446" spans="1:11" x14ac:dyDescent="0.3">
      <c r="A446">
        <v>445</v>
      </c>
      <c r="B446" t="s">
        <v>459</v>
      </c>
      <c r="C446" t="s">
        <v>26</v>
      </c>
      <c r="D446">
        <v>2006</v>
      </c>
      <c r="E446" t="s">
        <v>28</v>
      </c>
      <c r="F446" t="s">
        <v>14</v>
      </c>
      <c r="G446">
        <v>0.91</v>
      </c>
      <c r="H446">
        <v>1</v>
      </c>
      <c r="I446">
        <v>1.03</v>
      </c>
      <c r="J446">
        <v>0.17</v>
      </c>
      <c r="K446">
        <v>3.12</v>
      </c>
    </row>
    <row r="447" spans="1:11" x14ac:dyDescent="0.3">
      <c r="A447">
        <v>446</v>
      </c>
      <c r="B447" t="s">
        <v>282</v>
      </c>
      <c r="C447" t="s">
        <v>42</v>
      </c>
      <c r="D447">
        <v>2007</v>
      </c>
      <c r="E447" t="s">
        <v>22</v>
      </c>
      <c r="F447" t="s">
        <v>92</v>
      </c>
      <c r="G447">
        <v>1.69</v>
      </c>
      <c r="H447">
        <v>0.87</v>
      </c>
      <c r="I447">
        <v>0.14000000000000001</v>
      </c>
      <c r="J447">
        <v>0.42</v>
      </c>
      <c r="K447">
        <v>3.12</v>
      </c>
    </row>
    <row r="448" spans="1:11" x14ac:dyDescent="0.3">
      <c r="A448">
        <v>447</v>
      </c>
      <c r="B448" t="s">
        <v>460</v>
      </c>
      <c r="C448" t="s">
        <v>16</v>
      </c>
      <c r="D448">
        <v>1990</v>
      </c>
      <c r="E448" t="s">
        <v>22</v>
      </c>
      <c r="F448" t="s">
        <v>275</v>
      </c>
      <c r="G448">
        <v>0.08</v>
      </c>
      <c r="H448">
        <v>0</v>
      </c>
      <c r="I448">
        <v>3.03</v>
      </c>
      <c r="J448">
        <v>0.01</v>
      </c>
      <c r="K448">
        <v>3.12</v>
      </c>
    </row>
    <row r="449" spans="1:11" x14ac:dyDescent="0.3">
      <c r="A449">
        <v>448</v>
      </c>
      <c r="B449" t="s">
        <v>461</v>
      </c>
      <c r="C449" t="s">
        <v>42</v>
      </c>
      <c r="D449">
        <v>2010</v>
      </c>
      <c r="E449" t="s">
        <v>83</v>
      </c>
      <c r="F449" t="s">
        <v>59</v>
      </c>
      <c r="G449">
        <v>1.29</v>
      </c>
      <c r="H449">
        <v>1.27</v>
      </c>
      <c r="I449">
        <v>0.06</v>
      </c>
      <c r="J449">
        <v>0.5</v>
      </c>
      <c r="K449">
        <v>3.12</v>
      </c>
    </row>
    <row r="450" spans="1:11" x14ac:dyDescent="0.3">
      <c r="A450">
        <v>449</v>
      </c>
      <c r="B450" t="s">
        <v>462</v>
      </c>
      <c r="C450" t="s">
        <v>39</v>
      </c>
      <c r="D450">
        <v>2010</v>
      </c>
      <c r="E450" t="s">
        <v>22</v>
      </c>
      <c r="F450" t="s">
        <v>110</v>
      </c>
      <c r="G450">
        <v>1.99</v>
      </c>
      <c r="H450">
        <v>0.82</v>
      </c>
      <c r="I450">
        <v>0.03</v>
      </c>
      <c r="J450">
        <v>0.27</v>
      </c>
      <c r="K450">
        <v>3.11</v>
      </c>
    </row>
    <row r="451" spans="1:11" x14ac:dyDescent="0.3">
      <c r="A451">
        <v>450</v>
      </c>
      <c r="B451" t="s">
        <v>164</v>
      </c>
      <c r="C451" t="s">
        <v>39</v>
      </c>
      <c r="D451">
        <v>2014</v>
      </c>
      <c r="E451" t="s">
        <v>13</v>
      </c>
      <c r="F451" t="s">
        <v>110</v>
      </c>
      <c r="G451">
        <v>0.78</v>
      </c>
      <c r="H451">
        <v>2.02</v>
      </c>
      <c r="I451">
        <v>0</v>
      </c>
      <c r="J451">
        <v>0.3</v>
      </c>
      <c r="K451">
        <v>3.11</v>
      </c>
    </row>
    <row r="452" spans="1:11" x14ac:dyDescent="0.3">
      <c r="A452">
        <v>451</v>
      </c>
      <c r="B452" t="s">
        <v>463</v>
      </c>
      <c r="C452" t="s">
        <v>46</v>
      </c>
      <c r="D452">
        <v>2002</v>
      </c>
      <c r="E452" t="s">
        <v>72</v>
      </c>
      <c r="F452" t="s">
        <v>127</v>
      </c>
      <c r="G452">
        <v>2.17</v>
      </c>
      <c r="H452">
        <v>0.28000000000000003</v>
      </c>
      <c r="I452">
        <v>0.55000000000000004</v>
      </c>
      <c r="J452">
        <v>0.08</v>
      </c>
      <c r="K452">
        <v>3.09</v>
      </c>
    </row>
    <row r="453" spans="1:11" x14ac:dyDescent="0.3">
      <c r="A453">
        <v>452</v>
      </c>
      <c r="B453" t="s">
        <v>464</v>
      </c>
      <c r="C453" t="s">
        <v>46</v>
      </c>
      <c r="D453">
        <v>2001</v>
      </c>
      <c r="E453" t="s">
        <v>13</v>
      </c>
      <c r="F453" t="s">
        <v>110</v>
      </c>
      <c r="G453">
        <v>2.5</v>
      </c>
      <c r="H453">
        <v>0.16</v>
      </c>
      <c r="I453">
        <v>0.01</v>
      </c>
      <c r="J453">
        <v>0.42</v>
      </c>
      <c r="K453">
        <v>3.08</v>
      </c>
    </row>
    <row r="454" spans="1:11" x14ac:dyDescent="0.3">
      <c r="A454">
        <v>453</v>
      </c>
      <c r="B454" t="s">
        <v>465</v>
      </c>
      <c r="C454" t="s">
        <v>16</v>
      </c>
      <c r="D454">
        <v>1986</v>
      </c>
      <c r="E454" t="s">
        <v>13</v>
      </c>
      <c r="F454" t="s">
        <v>295</v>
      </c>
      <c r="G454">
        <v>1.92</v>
      </c>
      <c r="H454">
        <v>0.45</v>
      </c>
      <c r="I454">
        <v>0.64</v>
      </c>
      <c r="J454">
        <v>7.0000000000000007E-2</v>
      </c>
      <c r="K454">
        <v>3.08</v>
      </c>
    </row>
    <row r="455" spans="1:11" x14ac:dyDescent="0.3">
      <c r="A455">
        <v>454</v>
      </c>
      <c r="B455" t="s">
        <v>466</v>
      </c>
      <c r="C455" t="s">
        <v>39</v>
      </c>
      <c r="D455">
        <v>2012</v>
      </c>
      <c r="E455" t="s">
        <v>31</v>
      </c>
      <c r="F455" t="s">
        <v>44</v>
      </c>
      <c r="G455">
        <v>1.89</v>
      </c>
      <c r="H455">
        <v>0.91</v>
      </c>
      <c r="I455">
        <v>0.04</v>
      </c>
      <c r="J455">
        <v>0.24</v>
      </c>
      <c r="K455">
        <v>3.07</v>
      </c>
    </row>
    <row r="456" spans="1:11" x14ac:dyDescent="0.3">
      <c r="A456">
        <v>455</v>
      </c>
      <c r="B456" t="s">
        <v>467</v>
      </c>
      <c r="C456" t="s">
        <v>65</v>
      </c>
      <c r="D456">
        <v>2013</v>
      </c>
      <c r="E456" t="s">
        <v>43</v>
      </c>
      <c r="F456" t="s">
        <v>14</v>
      </c>
      <c r="G456">
        <v>1.4</v>
      </c>
      <c r="H456">
        <v>0.99</v>
      </c>
      <c r="I456">
        <v>0.46</v>
      </c>
      <c r="J456">
        <v>0.22</v>
      </c>
      <c r="K456">
        <v>3.07</v>
      </c>
    </row>
    <row r="457" spans="1:11" x14ac:dyDescent="0.3">
      <c r="A457">
        <v>456</v>
      </c>
      <c r="B457" t="s">
        <v>468</v>
      </c>
      <c r="C457" t="s">
        <v>21</v>
      </c>
      <c r="D457">
        <v>1994</v>
      </c>
      <c r="E457" t="s">
        <v>2</v>
      </c>
      <c r="F457" t="s">
        <v>14</v>
      </c>
      <c r="G457">
        <v>1.57</v>
      </c>
      <c r="H457">
        <v>0.62</v>
      </c>
      <c r="I457">
        <v>0.55000000000000004</v>
      </c>
      <c r="J457">
        <v>0.34</v>
      </c>
      <c r="K457">
        <v>3.07</v>
      </c>
    </row>
    <row r="458" spans="1:11" x14ac:dyDescent="0.3">
      <c r="A458">
        <v>457</v>
      </c>
      <c r="B458" t="s">
        <v>469</v>
      </c>
      <c r="C458" t="s">
        <v>118</v>
      </c>
      <c r="D458">
        <v>2002</v>
      </c>
      <c r="E458" t="s">
        <v>33</v>
      </c>
      <c r="F458" t="s">
        <v>110</v>
      </c>
      <c r="G458">
        <v>1.72</v>
      </c>
      <c r="H458">
        <v>1.21</v>
      </c>
      <c r="I458">
        <v>0</v>
      </c>
      <c r="J458">
        <v>0.14000000000000001</v>
      </c>
      <c r="K458">
        <v>3.07</v>
      </c>
    </row>
    <row r="459" spans="1:11" x14ac:dyDescent="0.3">
      <c r="A459">
        <v>458</v>
      </c>
      <c r="B459" t="s">
        <v>470</v>
      </c>
      <c r="C459" t="s">
        <v>39</v>
      </c>
      <c r="D459">
        <v>2012</v>
      </c>
      <c r="E459" t="s">
        <v>22</v>
      </c>
      <c r="F459" t="s">
        <v>110</v>
      </c>
      <c r="G459">
        <v>1.94</v>
      </c>
      <c r="H459">
        <v>0.86</v>
      </c>
      <c r="I459">
        <v>0.03</v>
      </c>
      <c r="J459">
        <v>0.24</v>
      </c>
      <c r="K459">
        <v>3.07</v>
      </c>
    </row>
    <row r="460" spans="1:11" x14ac:dyDescent="0.3">
      <c r="A460">
        <v>459</v>
      </c>
      <c r="B460" t="s">
        <v>471</v>
      </c>
      <c r="C460" t="s">
        <v>39</v>
      </c>
      <c r="D460">
        <v>2008</v>
      </c>
      <c r="E460" t="s">
        <v>43</v>
      </c>
      <c r="F460" t="s">
        <v>61</v>
      </c>
      <c r="G460">
        <v>1.91</v>
      </c>
      <c r="H460">
        <v>0.84</v>
      </c>
      <c r="I460">
        <v>0</v>
      </c>
      <c r="J460">
        <v>0.28999999999999998</v>
      </c>
      <c r="K460">
        <v>3.05</v>
      </c>
    </row>
    <row r="461" spans="1:11" x14ac:dyDescent="0.3">
      <c r="A461">
        <v>460</v>
      </c>
      <c r="B461" t="s">
        <v>401</v>
      </c>
      <c r="C461" t="s">
        <v>39</v>
      </c>
      <c r="D461">
        <v>2012</v>
      </c>
      <c r="E461" t="s">
        <v>31</v>
      </c>
      <c r="F461" t="s">
        <v>92</v>
      </c>
      <c r="G461">
        <v>1.38</v>
      </c>
      <c r="H461">
        <v>1.35</v>
      </c>
      <c r="I461">
        <v>0.02</v>
      </c>
      <c r="J461">
        <v>0.28000000000000003</v>
      </c>
      <c r="K461">
        <v>3.04</v>
      </c>
    </row>
    <row r="462" spans="1:11" x14ac:dyDescent="0.3">
      <c r="A462">
        <v>461</v>
      </c>
      <c r="B462" t="s">
        <v>472</v>
      </c>
      <c r="C462" t="s">
        <v>12</v>
      </c>
      <c r="D462">
        <v>2010</v>
      </c>
      <c r="E462" t="s">
        <v>2</v>
      </c>
      <c r="F462" t="s">
        <v>450</v>
      </c>
      <c r="G462">
        <v>2.06</v>
      </c>
      <c r="H462">
        <v>0.64</v>
      </c>
      <c r="I462">
        <v>0.12</v>
      </c>
      <c r="J462">
        <v>0.22</v>
      </c>
      <c r="K462">
        <v>3.04</v>
      </c>
    </row>
    <row r="463" spans="1:11" x14ac:dyDescent="0.3">
      <c r="A463">
        <v>462</v>
      </c>
      <c r="B463" t="s">
        <v>473</v>
      </c>
      <c r="C463" t="s">
        <v>39</v>
      </c>
      <c r="D463">
        <v>2008</v>
      </c>
      <c r="E463" t="s">
        <v>43</v>
      </c>
      <c r="F463" t="s">
        <v>384</v>
      </c>
      <c r="G463">
        <v>1.94</v>
      </c>
      <c r="H463">
        <v>0.8</v>
      </c>
      <c r="I463">
        <v>0.02</v>
      </c>
      <c r="J463">
        <v>0.27</v>
      </c>
      <c r="K463">
        <v>3.03</v>
      </c>
    </row>
    <row r="464" spans="1:11" x14ac:dyDescent="0.3">
      <c r="A464">
        <v>463</v>
      </c>
      <c r="B464" t="s">
        <v>474</v>
      </c>
      <c r="C464" t="s">
        <v>86</v>
      </c>
      <c r="D464">
        <v>1995</v>
      </c>
      <c r="E464" t="s">
        <v>2</v>
      </c>
      <c r="F464" t="s">
        <v>92</v>
      </c>
      <c r="G464">
        <v>1.54</v>
      </c>
      <c r="H464">
        <v>1.33</v>
      </c>
      <c r="I464">
        <v>0</v>
      </c>
      <c r="J464">
        <v>0.16</v>
      </c>
      <c r="K464">
        <v>3.03</v>
      </c>
    </row>
    <row r="465" spans="1:11" x14ac:dyDescent="0.3">
      <c r="A465">
        <v>464</v>
      </c>
      <c r="B465" t="s">
        <v>475</v>
      </c>
      <c r="C465" t="s">
        <v>42</v>
      </c>
      <c r="D465">
        <v>2009</v>
      </c>
      <c r="E465" t="s">
        <v>31</v>
      </c>
      <c r="F465" t="s">
        <v>59</v>
      </c>
      <c r="G465">
        <v>1.4</v>
      </c>
      <c r="H465">
        <v>1.07</v>
      </c>
      <c r="I465">
        <v>0.08</v>
      </c>
      <c r="J465">
        <v>0.47</v>
      </c>
      <c r="K465">
        <v>3.02</v>
      </c>
    </row>
    <row r="466" spans="1:11" x14ac:dyDescent="0.3">
      <c r="A466">
        <v>465</v>
      </c>
      <c r="B466" t="s">
        <v>476</v>
      </c>
      <c r="C466" t="s">
        <v>113</v>
      </c>
      <c r="D466">
        <v>2002</v>
      </c>
      <c r="E466" t="s">
        <v>43</v>
      </c>
      <c r="F466" t="s">
        <v>92</v>
      </c>
      <c r="G466">
        <v>1.85</v>
      </c>
      <c r="H466">
        <v>1.04</v>
      </c>
      <c r="I466">
        <v>0</v>
      </c>
      <c r="J466">
        <v>0.13</v>
      </c>
      <c r="K466">
        <v>3.02</v>
      </c>
    </row>
    <row r="467" spans="1:11" x14ac:dyDescent="0.3">
      <c r="A467">
        <v>466</v>
      </c>
      <c r="B467" t="s">
        <v>477</v>
      </c>
      <c r="C467" t="s">
        <v>16</v>
      </c>
      <c r="D467">
        <v>1987</v>
      </c>
      <c r="E467" t="s">
        <v>72</v>
      </c>
      <c r="F467" t="s">
        <v>14</v>
      </c>
      <c r="G467">
        <v>2.0299999999999998</v>
      </c>
      <c r="H467">
        <v>0.47</v>
      </c>
      <c r="I467">
        <v>0.45</v>
      </c>
      <c r="J467">
        <v>7.0000000000000007E-2</v>
      </c>
      <c r="K467">
        <v>3.02</v>
      </c>
    </row>
    <row r="468" spans="1:11" x14ac:dyDescent="0.3">
      <c r="A468">
        <v>467</v>
      </c>
      <c r="B468" t="s">
        <v>478</v>
      </c>
      <c r="C468" t="s">
        <v>46</v>
      </c>
      <c r="D468">
        <v>2002</v>
      </c>
      <c r="E468" t="s">
        <v>13</v>
      </c>
      <c r="F468" t="s">
        <v>384</v>
      </c>
      <c r="G468">
        <v>1.45</v>
      </c>
      <c r="H468">
        <v>1.1299999999999999</v>
      </c>
      <c r="I468">
        <v>7.0000000000000007E-2</v>
      </c>
      <c r="J468">
        <v>0.38</v>
      </c>
      <c r="K468">
        <v>3.02</v>
      </c>
    </row>
    <row r="469" spans="1:11" x14ac:dyDescent="0.3">
      <c r="A469">
        <v>468</v>
      </c>
      <c r="B469" t="s">
        <v>479</v>
      </c>
      <c r="C469" t="s">
        <v>140</v>
      </c>
      <c r="D469">
        <v>2015</v>
      </c>
      <c r="E469" t="s">
        <v>31</v>
      </c>
      <c r="F469" t="s">
        <v>40</v>
      </c>
      <c r="G469">
        <v>2.38</v>
      </c>
      <c r="H469">
        <v>0.32</v>
      </c>
      <c r="I469">
        <v>0</v>
      </c>
      <c r="J469">
        <v>0.31</v>
      </c>
      <c r="K469">
        <v>3</v>
      </c>
    </row>
    <row r="470" spans="1:11" x14ac:dyDescent="0.3">
      <c r="A470">
        <v>469</v>
      </c>
      <c r="B470" t="s">
        <v>480</v>
      </c>
      <c r="C470" t="s">
        <v>39</v>
      </c>
      <c r="D470">
        <v>2012</v>
      </c>
      <c r="E470" t="s">
        <v>13</v>
      </c>
      <c r="F470" t="s">
        <v>44</v>
      </c>
      <c r="G470">
        <v>2.6</v>
      </c>
      <c r="H470">
        <v>0.21</v>
      </c>
      <c r="I470">
        <v>0.01</v>
      </c>
      <c r="J470">
        <v>0.19</v>
      </c>
      <c r="K470">
        <v>3</v>
      </c>
    </row>
    <row r="471" spans="1:11" x14ac:dyDescent="0.3">
      <c r="A471">
        <v>470</v>
      </c>
      <c r="B471" t="s">
        <v>481</v>
      </c>
      <c r="C471" t="s">
        <v>46</v>
      </c>
      <c r="D471">
        <v>2007</v>
      </c>
      <c r="E471" t="s">
        <v>72</v>
      </c>
      <c r="F471" t="s">
        <v>127</v>
      </c>
      <c r="G471">
        <v>1.1499999999999999</v>
      </c>
      <c r="H471">
        <v>0</v>
      </c>
      <c r="I471">
        <v>0.76</v>
      </c>
      <c r="J471">
        <v>1.0900000000000001</v>
      </c>
      <c r="K471">
        <v>3</v>
      </c>
    </row>
    <row r="472" spans="1:11" x14ac:dyDescent="0.3">
      <c r="A472">
        <v>471</v>
      </c>
      <c r="B472" t="s">
        <v>482</v>
      </c>
      <c r="C472" t="s">
        <v>46</v>
      </c>
      <c r="D472" t="s">
        <v>224</v>
      </c>
      <c r="E472" t="s">
        <v>72</v>
      </c>
      <c r="F472" t="s">
        <v>224</v>
      </c>
      <c r="G472">
        <v>1.57</v>
      </c>
      <c r="H472">
        <v>1.02</v>
      </c>
      <c r="I472">
        <v>0</v>
      </c>
      <c r="J472">
        <v>0.41</v>
      </c>
      <c r="K472">
        <v>3</v>
      </c>
    </row>
    <row r="473" spans="1:11" x14ac:dyDescent="0.3">
      <c r="A473">
        <v>472</v>
      </c>
      <c r="B473" t="s">
        <v>483</v>
      </c>
      <c r="C473" t="s">
        <v>67</v>
      </c>
      <c r="D473">
        <v>2014</v>
      </c>
      <c r="E473" t="s">
        <v>43</v>
      </c>
      <c r="F473" t="s">
        <v>205</v>
      </c>
      <c r="G473">
        <v>1.01</v>
      </c>
      <c r="H473">
        <v>1.41</v>
      </c>
      <c r="I473">
        <v>0.05</v>
      </c>
      <c r="J473">
        <v>0.53</v>
      </c>
      <c r="K473">
        <v>2.99</v>
      </c>
    </row>
    <row r="474" spans="1:11" x14ac:dyDescent="0.3">
      <c r="A474">
        <v>473</v>
      </c>
      <c r="B474" t="s">
        <v>484</v>
      </c>
      <c r="C474" t="s">
        <v>48</v>
      </c>
      <c r="D474">
        <v>1993</v>
      </c>
      <c r="E474" t="s">
        <v>31</v>
      </c>
      <c r="F474" t="s">
        <v>14</v>
      </c>
      <c r="G474">
        <v>1.61</v>
      </c>
      <c r="H474">
        <v>0.51</v>
      </c>
      <c r="I474">
        <v>0.8</v>
      </c>
      <c r="J474">
        <v>7.0000000000000007E-2</v>
      </c>
      <c r="K474">
        <v>2.99</v>
      </c>
    </row>
    <row r="475" spans="1:11" x14ac:dyDescent="0.3">
      <c r="A475">
        <v>474</v>
      </c>
      <c r="B475" t="s">
        <v>485</v>
      </c>
      <c r="C475" t="s">
        <v>118</v>
      </c>
      <c r="D475">
        <v>2000</v>
      </c>
      <c r="E475" t="s">
        <v>28</v>
      </c>
      <c r="F475" t="s">
        <v>110</v>
      </c>
      <c r="G475">
        <v>1.67</v>
      </c>
      <c r="H475">
        <v>1.18</v>
      </c>
      <c r="I475">
        <v>0</v>
      </c>
      <c r="J475">
        <v>0.13</v>
      </c>
      <c r="K475">
        <v>2.99</v>
      </c>
    </row>
    <row r="476" spans="1:11" x14ac:dyDescent="0.3">
      <c r="A476">
        <v>475</v>
      </c>
      <c r="B476" t="s">
        <v>486</v>
      </c>
      <c r="C476" t="s">
        <v>46</v>
      </c>
      <c r="D476">
        <v>2002</v>
      </c>
      <c r="E476" t="s">
        <v>13</v>
      </c>
      <c r="F476" t="s">
        <v>183</v>
      </c>
      <c r="G476">
        <v>0.12</v>
      </c>
      <c r="H476">
        <v>1.26</v>
      </c>
      <c r="I476">
        <v>1.1599999999999999</v>
      </c>
      <c r="J476">
        <v>0.45</v>
      </c>
      <c r="K476">
        <v>2.99</v>
      </c>
    </row>
    <row r="477" spans="1:11" x14ac:dyDescent="0.3">
      <c r="A477">
        <v>476</v>
      </c>
      <c r="B477" t="s">
        <v>487</v>
      </c>
      <c r="C477" t="s">
        <v>46</v>
      </c>
      <c r="D477">
        <v>2001</v>
      </c>
      <c r="E477" t="s">
        <v>43</v>
      </c>
      <c r="F477" t="s">
        <v>175</v>
      </c>
      <c r="G477">
        <v>1.36</v>
      </c>
      <c r="H477">
        <v>0.86</v>
      </c>
      <c r="I477">
        <v>0.64</v>
      </c>
      <c r="J477">
        <v>0.13</v>
      </c>
      <c r="K477">
        <v>2.99</v>
      </c>
    </row>
    <row r="478" spans="1:11" x14ac:dyDescent="0.3">
      <c r="A478">
        <v>477</v>
      </c>
      <c r="B478" t="s">
        <v>488</v>
      </c>
      <c r="C478" t="s">
        <v>65</v>
      </c>
      <c r="D478">
        <v>2015</v>
      </c>
      <c r="E478" t="s">
        <v>33</v>
      </c>
      <c r="F478" t="s">
        <v>14</v>
      </c>
      <c r="G478">
        <v>0.47</v>
      </c>
      <c r="H478">
        <v>1</v>
      </c>
      <c r="I478">
        <v>1.39</v>
      </c>
      <c r="J478">
        <v>0.12</v>
      </c>
      <c r="K478">
        <v>2.98</v>
      </c>
    </row>
    <row r="479" spans="1:11" x14ac:dyDescent="0.3">
      <c r="A479">
        <v>478</v>
      </c>
      <c r="B479" t="s">
        <v>399</v>
      </c>
      <c r="C479" t="s">
        <v>42</v>
      </c>
      <c r="D479">
        <v>2010</v>
      </c>
      <c r="E479" t="s">
        <v>31</v>
      </c>
      <c r="F479" t="s">
        <v>110</v>
      </c>
      <c r="G479">
        <v>1.33</v>
      </c>
      <c r="H479">
        <v>1.1200000000000001</v>
      </c>
      <c r="I479">
        <v>0.08</v>
      </c>
      <c r="J479">
        <v>0.45</v>
      </c>
      <c r="K479">
        <v>2.97</v>
      </c>
    </row>
    <row r="480" spans="1:11" x14ac:dyDescent="0.3">
      <c r="A480">
        <v>479</v>
      </c>
      <c r="B480" t="s">
        <v>489</v>
      </c>
      <c r="C480" t="s">
        <v>118</v>
      </c>
      <c r="D480">
        <v>2014</v>
      </c>
      <c r="E480" t="s">
        <v>33</v>
      </c>
      <c r="F480" t="s">
        <v>110</v>
      </c>
      <c r="G480">
        <v>0.96</v>
      </c>
      <c r="H480">
        <v>1.72</v>
      </c>
      <c r="I480">
        <v>0</v>
      </c>
      <c r="J480">
        <v>0.28999999999999998</v>
      </c>
      <c r="K480">
        <v>2.97</v>
      </c>
    </row>
    <row r="481" spans="1:11" x14ac:dyDescent="0.3">
      <c r="A481">
        <v>480</v>
      </c>
      <c r="B481" t="s">
        <v>490</v>
      </c>
      <c r="C481" t="s">
        <v>118</v>
      </c>
      <c r="D481">
        <v>2011</v>
      </c>
      <c r="E481" t="s">
        <v>22</v>
      </c>
      <c r="F481" t="s">
        <v>110</v>
      </c>
      <c r="G481">
        <v>1.58</v>
      </c>
      <c r="H481">
        <v>1.01</v>
      </c>
      <c r="I481">
        <v>0</v>
      </c>
      <c r="J481">
        <v>0.38</v>
      </c>
      <c r="K481">
        <v>2.97</v>
      </c>
    </row>
    <row r="482" spans="1:11" x14ac:dyDescent="0.3">
      <c r="A482">
        <v>481</v>
      </c>
      <c r="B482" t="s">
        <v>491</v>
      </c>
      <c r="C482" t="s">
        <v>46</v>
      </c>
      <c r="D482">
        <v>2003</v>
      </c>
      <c r="E482" t="s">
        <v>2</v>
      </c>
      <c r="F482" t="s">
        <v>121</v>
      </c>
      <c r="G482">
        <v>1.04</v>
      </c>
      <c r="H482">
        <v>1.37</v>
      </c>
      <c r="I482">
        <v>0.06</v>
      </c>
      <c r="J482">
        <v>0.49</v>
      </c>
      <c r="K482">
        <v>2.96</v>
      </c>
    </row>
    <row r="483" spans="1:11" x14ac:dyDescent="0.3">
      <c r="A483">
        <v>482</v>
      </c>
      <c r="B483" t="s">
        <v>492</v>
      </c>
      <c r="C483" t="s">
        <v>26</v>
      </c>
      <c r="D483">
        <v>2008</v>
      </c>
      <c r="E483" t="s">
        <v>2</v>
      </c>
      <c r="F483" t="s">
        <v>14</v>
      </c>
      <c r="G483">
        <v>1.57</v>
      </c>
      <c r="H483">
        <v>0.04</v>
      </c>
      <c r="I483">
        <v>1.19</v>
      </c>
      <c r="J483">
        <v>0.15</v>
      </c>
      <c r="K483">
        <v>2.96</v>
      </c>
    </row>
    <row r="484" spans="1:11" x14ac:dyDescent="0.3">
      <c r="A484">
        <v>483</v>
      </c>
      <c r="B484" t="s">
        <v>493</v>
      </c>
      <c r="C484" t="s">
        <v>46</v>
      </c>
      <c r="D484">
        <v>2002</v>
      </c>
      <c r="E484" t="s">
        <v>43</v>
      </c>
      <c r="F484" t="s">
        <v>222</v>
      </c>
      <c r="G484">
        <v>1.36</v>
      </c>
      <c r="H484">
        <v>1.1499999999999999</v>
      </c>
      <c r="I484">
        <v>0.04</v>
      </c>
      <c r="J484">
        <v>0.41</v>
      </c>
      <c r="K484">
        <v>2.96</v>
      </c>
    </row>
    <row r="485" spans="1:11" x14ac:dyDescent="0.3">
      <c r="A485">
        <v>484</v>
      </c>
      <c r="B485" t="s">
        <v>303</v>
      </c>
      <c r="C485" t="s">
        <v>39</v>
      </c>
      <c r="D485">
        <v>2009</v>
      </c>
      <c r="E485" t="s">
        <v>72</v>
      </c>
      <c r="F485" t="s">
        <v>175</v>
      </c>
      <c r="G485">
        <v>1.82</v>
      </c>
      <c r="H485">
        <v>0.71</v>
      </c>
      <c r="I485">
        <v>0.15</v>
      </c>
      <c r="J485">
        <v>0.26</v>
      </c>
      <c r="K485">
        <v>2.95</v>
      </c>
    </row>
    <row r="486" spans="1:11" x14ac:dyDescent="0.3">
      <c r="A486">
        <v>485</v>
      </c>
      <c r="B486" t="s">
        <v>494</v>
      </c>
      <c r="C486" t="s">
        <v>78</v>
      </c>
      <c r="D486">
        <v>1996</v>
      </c>
      <c r="E486" t="s">
        <v>18</v>
      </c>
      <c r="F486" t="s">
        <v>14</v>
      </c>
      <c r="G486">
        <v>1.98</v>
      </c>
      <c r="H486">
        <v>0.57999999999999996</v>
      </c>
      <c r="I486">
        <v>0.34</v>
      </c>
      <c r="J486">
        <v>0.04</v>
      </c>
      <c r="K486">
        <v>2.94</v>
      </c>
    </row>
    <row r="487" spans="1:11" x14ac:dyDescent="0.3">
      <c r="A487">
        <v>486</v>
      </c>
      <c r="B487" t="s">
        <v>495</v>
      </c>
      <c r="C487" t="s">
        <v>46</v>
      </c>
      <c r="D487">
        <v>2003</v>
      </c>
      <c r="E487" t="s">
        <v>31</v>
      </c>
      <c r="F487" t="s">
        <v>59</v>
      </c>
      <c r="G487">
        <v>2.2200000000000002</v>
      </c>
      <c r="H487">
        <v>0.51</v>
      </c>
      <c r="I487">
        <v>0.06</v>
      </c>
      <c r="J487">
        <v>0.15</v>
      </c>
      <c r="K487">
        <v>2.94</v>
      </c>
    </row>
    <row r="488" spans="1:11" x14ac:dyDescent="0.3">
      <c r="A488">
        <v>487</v>
      </c>
      <c r="B488" t="s">
        <v>496</v>
      </c>
      <c r="C488" t="s">
        <v>46</v>
      </c>
      <c r="D488">
        <v>2005</v>
      </c>
      <c r="E488" t="s">
        <v>72</v>
      </c>
      <c r="F488" t="s">
        <v>384</v>
      </c>
      <c r="G488">
        <v>1.45</v>
      </c>
      <c r="H488">
        <v>1.1100000000000001</v>
      </c>
      <c r="I488">
        <v>0.04</v>
      </c>
      <c r="J488">
        <v>0.33</v>
      </c>
      <c r="K488">
        <v>2.94</v>
      </c>
    </row>
    <row r="489" spans="1:11" x14ac:dyDescent="0.3">
      <c r="A489">
        <v>488</v>
      </c>
      <c r="B489" t="s">
        <v>497</v>
      </c>
      <c r="C489" t="s">
        <v>42</v>
      </c>
      <c r="D489">
        <v>2009</v>
      </c>
      <c r="E489" t="s">
        <v>43</v>
      </c>
      <c r="F489" t="s">
        <v>59</v>
      </c>
      <c r="G489">
        <v>1.76</v>
      </c>
      <c r="H489">
        <v>0.69</v>
      </c>
      <c r="I489">
        <v>0.12</v>
      </c>
      <c r="J489">
        <v>0.37</v>
      </c>
      <c r="K489">
        <v>2.94</v>
      </c>
    </row>
    <row r="490" spans="1:11" x14ac:dyDescent="0.3">
      <c r="A490">
        <v>489</v>
      </c>
      <c r="B490" t="s">
        <v>498</v>
      </c>
      <c r="C490" t="s">
        <v>55</v>
      </c>
      <c r="D490">
        <v>2001</v>
      </c>
      <c r="E490" t="s">
        <v>24</v>
      </c>
      <c r="F490" t="s">
        <v>127</v>
      </c>
      <c r="G490">
        <v>2.0699999999999998</v>
      </c>
      <c r="H490">
        <v>0.77</v>
      </c>
      <c r="I490">
        <v>0.05</v>
      </c>
      <c r="J490">
        <v>0.05</v>
      </c>
      <c r="K490">
        <v>2.94</v>
      </c>
    </row>
    <row r="491" spans="1:11" x14ac:dyDescent="0.3">
      <c r="A491">
        <v>490</v>
      </c>
      <c r="B491" t="s">
        <v>499</v>
      </c>
      <c r="C491" t="s">
        <v>39</v>
      </c>
      <c r="D491">
        <v>2007</v>
      </c>
      <c r="E491" t="s">
        <v>22</v>
      </c>
      <c r="F491" t="s">
        <v>40</v>
      </c>
      <c r="G491">
        <v>1.83</v>
      </c>
      <c r="H491">
        <v>0.8</v>
      </c>
      <c r="I491">
        <v>0.03</v>
      </c>
      <c r="J491">
        <v>0.27</v>
      </c>
      <c r="K491">
        <v>2.93</v>
      </c>
    </row>
    <row r="492" spans="1:11" x14ac:dyDescent="0.3">
      <c r="A492">
        <v>491</v>
      </c>
      <c r="B492" t="s">
        <v>500</v>
      </c>
      <c r="C492" t="s">
        <v>12</v>
      </c>
      <c r="D492">
        <v>2006</v>
      </c>
      <c r="E492" t="s">
        <v>24</v>
      </c>
      <c r="F492" t="s">
        <v>14</v>
      </c>
      <c r="G492">
        <v>0.87</v>
      </c>
      <c r="H492">
        <v>1.06</v>
      </c>
      <c r="I492">
        <v>0.73</v>
      </c>
      <c r="J492">
        <v>0.26</v>
      </c>
      <c r="K492">
        <v>2.92</v>
      </c>
    </row>
    <row r="493" spans="1:11" x14ac:dyDescent="0.3">
      <c r="A493">
        <v>492</v>
      </c>
      <c r="B493" t="s">
        <v>501</v>
      </c>
      <c r="C493" t="s">
        <v>12</v>
      </c>
      <c r="D493">
        <v>2007</v>
      </c>
      <c r="E493" t="s">
        <v>33</v>
      </c>
      <c r="F493" t="s">
        <v>158</v>
      </c>
      <c r="G493">
        <v>1.43</v>
      </c>
      <c r="H493">
        <v>1.1299999999999999</v>
      </c>
      <c r="I493">
        <v>0.05</v>
      </c>
      <c r="J493">
        <v>0.3</v>
      </c>
      <c r="K493">
        <v>2.91</v>
      </c>
    </row>
    <row r="494" spans="1:11" x14ac:dyDescent="0.3">
      <c r="A494">
        <v>493</v>
      </c>
      <c r="B494" t="s">
        <v>312</v>
      </c>
      <c r="C494" t="s">
        <v>55</v>
      </c>
      <c r="D494">
        <v>2002</v>
      </c>
      <c r="E494" t="s">
        <v>2</v>
      </c>
      <c r="F494" t="s">
        <v>14</v>
      </c>
      <c r="G494">
        <v>1.75</v>
      </c>
      <c r="H494">
        <v>0.45</v>
      </c>
      <c r="I494">
        <v>0.62</v>
      </c>
      <c r="J494">
        <v>0.09</v>
      </c>
      <c r="K494">
        <v>2.91</v>
      </c>
    </row>
    <row r="495" spans="1:11" x14ac:dyDescent="0.3">
      <c r="A495">
        <v>494</v>
      </c>
      <c r="B495" t="s">
        <v>152</v>
      </c>
      <c r="C495" t="s">
        <v>67</v>
      </c>
      <c r="D495">
        <v>2013</v>
      </c>
      <c r="E495" t="s">
        <v>13</v>
      </c>
      <c r="F495" t="s">
        <v>110</v>
      </c>
      <c r="G495">
        <v>0.61</v>
      </c>
      <c r="H495">
        <v>1.85</v>
      </c>
      <c r="I495">
        <v>0.11</v>
      </c>
      <c r="J495">
        <v>0.33</v>
      </c>
      <c r="K495">
        <v>2.9</v>
      </c>
    </row>
    <row r="496" spans="1:11" x14ac:dyDescent="0.3">
      <c r="A496">
        <v>495</v>
      </c>
      <c r="B496" t="s">
        <v>502</v>
      </c>
      <c r="C496" t="s">
        <v>140</v>
      </c>
      <c r="D496">
        <v>2014</v>
      </c>
      <c r="E496" t="s">
        <v>31</v>
      </c>
      <c r="F496" t="s">
        <v>110</v>
      </c>
      <c r="G496">
        <v>1.84</v>
      </c>
      <c r="H496">
        <v>0.8</v>
      </c>
      <c r="I496">
        <v>0.04</v>
      </c>
      <c r="J496">
        <v>0.22</v>
      </c>
      <c r="K496">
        <v>2.9</v>
      </c>
    </row>
    <row r="497" spans="1:11" x14ac:dyDescent="0.3">
      <c r="A497">
        <v>496</v>
      </c>
      <c r="B497" t="s">
        <v>503</v>
      </c>
      <c r="C497" t="s">
        <v>46</v>
      </c>
      <c r="D497">
        <v>2004</v>
      </c>
      <c r="E497" t="s">
        <v>28</v>
      </c>
      <c r="F497" t="s">
        <v>121</v>
      </c>
      <c r="G497">
        <v>1.54</v>
      </c>
      <c r="H497">
        <v>1.1399999999999999</v>
      </c>
      <c r="I497">
        <v>0</v>
      </c>
      <c r="J497">
        <v>0.22</v>
      </c>
      <c r="K497">
        <v>2.9</v>
      </c>
    </row>
    <row r="498" spans="1:11" x14ac:dyDescent="0.3">
      <c r="A498">
        <v>497</v>
      </c>
      <c r="B498" t="s">
        <v>504</v>
      </c>
      <c r="C498" t="s">
        <v>39</v>
      </c>
      <c r="D498">
        <v>2008</v>
      </c>
      <c r="E498" t="s">
        <v>13</v>
      </c>
      <c r="F498" t="s">
        <v>121</v>
      </c>
      <c r="G498">
        <v>1.75</v>
      </c>
      <c r="H498">
        <v>0.86</v>
      </c>
      <c r="I498">
        <v>0</v>
      </c>
      <c r="J498">
        <v>0.28000000000000003</v>
      </c>
      <c r="K498">
        <v>2.9</v>
      </c>
    </row>
    <row r="499" spans="1:11" x14ac:dyDescent="0.3">
      <c r="A499">
        <v>498</v>
      </c>
      <c r="B499" t="s">
        <v>505</v>
      </c>
      <c r="C499" t="s">
        <v>46</v>
      </c>
      <c r="D499">
        <v>2003</v>
      </c>
      <c r="E499" t="s">
        <v>13</v>
      </c>
      <c r="F499" t="s">
        <v>183</v>
      </c>
      <c r="G499">
        <v>0.08</v>
      </c>
      <c r="H499">
        <v>1.24</v>
      </c>
      <c r="I499">
        <v>1.1299999999999999</v>
      </c>
      <c r="J499">
        <v>0.45</v>
      </c>
      <c r="K499">
        <v>2.9</v>
      </c>
    </row>
    <row r="500" spans="1:11" x14ac:dyDescent="0.3">
      <c r="A500">
        <v>499</v>
      </c>
      <c r="B500" t="s">
        <v>284</v>
      </c>
      <c r="C500" t="s">
        <v>42</v>
      </c>
      <c r="D500">
        <v>2012</v>
      </c>
      <c r="E500" t="s">
        <v>18</v>
      </c>
      <c r="F500" t="s">
        <v>110</v>
      </c>
      <c r="G500">
        <v>0.71</v>
      </c>
      <c r="H500">
        <v>1.51</v>
      </c>
      <c r="I500">
        <v>0.06</v>
      </c>
      <c r="J500">
        <v>0.61</v>
      </c>
      <c r="K500">
        <v>2.89</v>
      </c>
    </row>
    <row r="501" spans="1:11" x14ac:dyDescent="0.3">
      <c r="A501">
        <v>500</v>
      </c>
      <c r="B501" t="s">
        <v>506</v>
      </c>
      <c r="C501" t="s">
        <v>46</v>
      </c>
      <c r="D501">
        <v>2001</v>
      </c>
      <c r="E501" t="s">
        <v>13</v>
      </c>
      <c r="F501" t="s">
        <v>59</v>
      </c>
      <c r="G501">
        <v>0.99</v>
      </c>
      <c r="H501">
        <v>0.32</v>
      </c>
      <c r="I501">
        <v>1.38</v>
      </c>
      <c r="J501">
        <v>0.2</v>
      </c>
      <c r="K501">
        <v>2.89</v>
      </c>
    </row>
    <row r="502" spans="1:11" x14ac:dyDescent="0.3">
      <c r="A502">
        <v>501</v>
      </c>
      <c r="B502" t="s">
        <v>507</v>
      </c>
      <c r="C502" t="s">
        <v>46</v>
      </c>
      <c r="D502">
        <v>2004</v>
      </c>
      <c r="E502" t="s">
        <v>31</v>
      </c>
      <c r="F502" t="s">
        <v>61</v>
      </c>
      <c r="G502">
        <v>1.51</v>
      </c>
      <c r="H502">
        <v>1.1200000000000001</v>
      </c>
      <c r="I502">
        <v>0.01</v>
      </c>
      <c r="J502">
        <v>0.24</v>
      </c>
      <c r="K502">
        <v>2.89</v>
      </c>
    </row>
    <row r="503" spans="1:11" x14ac:dyDescent="0.3">
      <c r="A503">
        <v>502</v>
      </c>
      <c r="B503" t="s">
        <v>508</v>
      </c>
      <c r="C503" t="s">
        <v>12</v>
      </c>
      <c r="D503">
        <v>2011</v>
      </c>
      <c r="E503" t="s">
        <v>13</v>
      </c>
      <c r="F503" t="s">
        <v>509</v>
      </c>
      <c r="G503">
        <v>1.54</v>
      </c>
      <c r="H503">
        <v>1.07</v>
      </c>
      <c r="I503">
        <v>0</v>
      </c>
      <c r="J503">
        <v>0.28000000000000003</v>
      </c>
      <c r="K503">
        <v>2.88</v>
      </c>
    </row>
    <row r="504" spans="1:11" x14ac:dyDescent="0.3">
      <c r="A504">
        <v>503</v>
      </c>
      <c r="B504" t="s">
        <v>510</v>
      </c>
      <c r="C504" t="s">
        <v>86</v>
      </c>
      <c r="D504">
        <v>1999</v>
      </c>
      <c r="E504" t="s">
        <v>31</v>
      </c>
      <c r="F504" t="s">
        <v>59</v>
      </c>
      <c r="G504">
        <v>2.0299999999999998</v>
      </c>
      <c r="H504">
        <v>0.72</v>
      </c>
      <c r="I504">
        <v>0.02</v>
      </c>
      <c r="J504">
        <v>0.11</v>
      </c>
      <c r="K504">
        <v>2.88</v>
      </c>
    </row>
    <row r="505" spans="1:11" x14ac:dyDescent="0.3">
      <c r="A505">
        <v>504</v>
      </c>
      <c r="B505" t="s">
        <v>511</v>
      </c>
      <c r="C505" t="s">
        <v>26</v>
      </c>
      <c r="D505">
        <v>2007</v>
      </c>
      <c r="E505" t="s">
        <v>33</v>
      </c>
      <c r="F505" t="s">
        <v>92</v>
      </c>
      <c r="G505">
        <v>1.3</v>
      </c>
      <c r="H505">
        <v>1.27</v>
      </c>
      <c r="I505">
        <v>0</v>
      </c>
      <c r="J505">
        <v>0.31</v>
      </c>
      <c r="K505">
        <v>2.88</v>
      </c>
    </row>
    <row r="506" spans="1:11" x14ac:dyDescent="0.3">
      <c r="A506">
        <v>505</v>
      </c>
      <c r="B506" t="s">
        <v>512</v>
      </c>
      <c r="C506" t="s">
        <v>86</v>
      </c>
      <c r="D506">
        <v>1998</v>
      </c>
      <c r="E506" t="s">
        <v>18</v>
      </c>
      <c r="F506" t="s">
        <v>513</v>
      </c>
      <c r="G506">
        <v>0.09</v>
      </c>
      <c r="H506">
        <v>2.4300000000000002</v>
      </c>
      <c r="I506">
        <v>0.12</v>
      </c>
      <c r="J506">
        <v>0.22</v>
      </c>
      <c r="K506">
        <v>2.87</v>
      </c>
    </row>
    <row r="507" spans="1:11" x14ac:dyDescent="0.3">
      <c r="A507">
        <v>506</v>
      </c>
      <c r="B507" t="s">
        <v>93</v>
      </c>
      <c r="C507" t="s">
        <v>140</v>
      </c>
      <c r="D507">
        <v>2013</v>
      </c>
      <c r="E507" t="s">
        <v>31</v>
      </c>
      <c r="F507" t="s">
        <v>61</v>
      </c>
      <c r="G507">
        <v>1.87</v>
      </c>
      <c r="H507">
        <v>0.77</v>
      </c>
      <c r="I507">
        <v>0</v>
      </c>
      <c r="J507">
        <v>0.22</v>
      </c>
      <c r="K507">
        <v>2.86</v>
      </c>
    </row>
    <row r="508" spans="1:11" x14ac:dyDescent="0.3">
      <c r="A508">
        <v>507</v>
      </c>
      <c r="B508" t="s">
        <v>514</v>
      </c>
      <c r="C508" t="s">
        <v>39</v>
      </c>
      <c r="D508">
        <v>2012</v>
      </c>
      <c r="E508" t="s">
        <v>13</v>
      </c>
      <c r="F508" t="s">
        <v>110</v>
      </c>
      <c r="G508">
        <v>2.5299999999999998</v>
      </c>
      <c r="H508">
        <v>0.16</v>
      </c>
      <c r="I508">
        <v>0</v>
      </c>
      <c r="J508">
        <v>0.17</v>
      </c>
      <c r="K508">
        <v>2.86</v>
      </c>
    </row>
    <row r="509" spans="1:11" x14ac:dyDescent="0.3">
      <c r="A509">
        <v>508</v>
      </c>
      <c r="B509" t="s">
        <v>515</v>
      </c>
      <c r="C509" t="s">
        <v>113</v>
      </c>
      <c r="D509">
        <v>2002</v>
      </c>
      <c r="E509" t="s">
        <v>22</v>
      </c>
      <c r="F509" t="s">
        <v>92</v>
      </c>
      <c r="G509">
        <v>2.09</v>
      </c>
      <c r="H509">
        <v>0.63</v>
      </c>
      <c r="I509">
        <v>0.03</v>
      </c>
      <c r="J509">
        <v>0.11</v>
      </c>
      <c r="K509">
        <v>2.86</v>
      </c>
    </row>
    <row r="510" spans="1:11" x14ac:dyDescent="0.3">
      <c r="A510">
        <v>509</v>
      </c>
      <c r="B510" t="s">
        <v>516</v>
      </c>
      <c r="C510" t="s">
        <v>42</v>
      </c>
      <c r="D510">
        <v>2011</v>
      </c>
      <c r="E510" t="s">
        <v>72</v>
      </c>
      <c r="F510" t="s">
        <v>205</v>
      </c>
      <c r="G510">
        <v>1.98</v>
      </c>
      <c r="H510">
        <v>0.55000000000000004</v>
      </c>
      <c r="I510">
        <v>0</v>
      </c>
      <c r="J510">
        <v>0.32</v>
      </c>
      <c r="K510">
        <v>2.85</v>
      </c>
    </row>
    <row r="511" spans="1:11" x14ac:dyDescent="0.3">
      <c r="A511">
        <v>510</v>
      </c>
      <c r="B511" t="s">
        <v>517</v>
      </c>
      <c r="C511" t="s">
        <v>48</v>
      </c>
      <c r="D511">
        <v>1990</v>
      </c>
      <c r="E511" t="s">
        <v>18</v>
      </c>
      <c r="F511" t="s">
        <v>14</v>
      </c>
      <c r="G511">
        <v>1.37</v>
      </c>
      <c r="H511">
        <v>0.51</v>
      </c>
      <c r="I511">
        <v>0.89</v>
      </c>
      <c r="J511">
        <v>7.0000000000000007E-2</v>
      </c>
      <c r="K511">
        <v>2.85</v>
      </c>
    </row>
    <row r="512" spans="1:11" x14ac:dyDescent="0.3">
      <c r="A512">
        <v>511</v>
      </c>
      <c r="B512" t="s">
        <v>518</v>
      </c>
      <c r="C512" t="s">
        <v>78</v>
      </c>
      <c r="D512">
        <v>1997</v>
      </c>
      <c r="E512" t="s">
        <v>2</v>
      </c>
      <c r="F512" t="s">
        <v>14</v>
      </c>
      <c r="G512">
        <v>1.29</v>
      </c>
      <c r="H512">
        <v>0.53</v>
      </c>
      <c r="I512">
        <v>0.98</v>
      </c>
      <c r="J512">
        <v>0.05</v>
      </c>
      <c r="K512">
        <v>2.85</v>
      </c>
    </row>
    <row r="513" spans="1:11" x14ac:dyDescent="0.3">
      <c r="A513">
        <v>512</v>
      </c>
      <c r="B513" t="s">
        <v>519</v>
      </c>
      <c r="C513" t="s">
        <v>118</v>
      </c>
      <c r="D513">
        <v>1996</v>
      </c>
      <c r="E513" t="s">
        <v>211</v>
      </c>
      <c r="F513" t="s">
        <v>197</v>
      </c>
      <c r="G513">
        <v>1.37</v>
      </c>
      <c r="H513">
        <v>1.34</v>
      </c>
      <c r="I513">
        <v>0</v>
      </c>
      <c r="J513">
        <v>0.14000000000000001</v>
      </c>
      <c r="K513">
        <v>2.85</v>
      </c>
    </row>
    <row r="514" spans="1:11" x14ac:dyDescent="0.3">
      <c r="A514">
        <v>513</v>
      </c>
      <c r="B514" t="s">
        <v>520</v>
      </c>
      <c r="C514" t="s">
        <v>12</v>
      </c>
      <c r="D514">
        <v>2011</v>
      </c>
      <c r="E514" t="s">
        <v>43</v>
      </c>
      <c r="F514" t="s">
        <v>61</v>
      </c>
      <c r="G514">
        <v>1.4</v>
      </c>
      <c r="H514">
        <v>1.1399999999999999</v>
      </c>
      <c r="I514">
        <v>0</v>
      </c>
      <c r="J514">
        <v>0.31</v>
      </c>
      <c r="K514">
        <v>2.85</v>
      </c>
    </row>
    <row r="515" spans="1:11" x14ac:dyDescent="0.3">
      <c r="A515">
        <v>514</v>
      </c>
      <c r="B515" t="s">
        <v>109</v>
      </c>
      <c r="C515" t="s">
        <v>42</v>
      </c>
      <c r="D515">
        <v>2015</v>
      </c>
      <c r="E515" t="s">
        <v>13</v>
      </c>
      <c r="F515" t="s">
        <v>110</v>
      </c>
      <c r="G515">
        <v>0.4</v>
      </c>
      <c r="H515">
        <v>1.98</v>
      </c>
      <c r="I515">
        <v>0.05</v>
      </c>
      <c r="J515">
        <v>0.42</v>
      </c>
      <c r="K515">
        <v>2.85</v>
      </c>
    </row>
    <row r="516" spans="1:11" x14ac:dyDescent="0.3">
      <c r="A516">
        <v>515</v>
      </c>
      <c r="B516" t="s">
        <v>395</v>
      </c>
      <c r="C516" t="s">
        <v>42</v>
      </c>
      <c r="D516">
        <v>2010</v>
      </c>
      <c r="E516" t="s">
        <v>43</v>
      </c>
      <c r="F516" t="s">
        <v>92</v>
      </c>
      <c r="G516">
        <v>1.87</v>
      </c>
      <c r="H516">
        <v>0.56999999999999995</v>
      </c>
      <c r="I516">
        <v>0.11</v>
      </c>
      <c r="J516">
        <v>0.3</v>
      </c>
      <c r="K516">
        <v>2.84</v>
      </c>
    </row>
    <row r="517" spans="1:11" x14ac:dyDescent="0.3">
      <c r="A517">
        <v>516</v>
      </c>
      <c r="B517" t="s">
        <v>521</v>
      </c>
      <c r="C517" t="s">
        <v>39</v>
      </c>
      <c r="D517">
        <v>2007</v>
      </c>
      <c r="E517" t="s">
        <v>31</v>
      </c>
      <c r="F517" t="s">
        <v>44</v>
      </c>
      <c r="G517">
        <v>1.65</v>
      </c>
      <c r="H517">
        <v>0.86</v>
      </c>
      <c r="I517">
        <v>0.05</v>
      </c>
      <c r="J517">
        <v>0.28000000000000003</v>
      </c>
      <c r="K517">
        <v>2.83</v>
      </c>
    </row>
    <row r="518" spans="1:11" x14ac:dyDescent="0.3">
      <c r="A518">
        <v>517</v>
      </c>
      <c r="B518" t="s">
        <v>522</v>
      </c>
      <c r="C518" t="s">
        <v>39</v>
      </c>
      <c r="D518">
        <v>2009</v>
      </c>
      <c r="E518" t="s">
        <v>13</v>
      </c>
      <c r="F518" t="s">
        <v>110</v>
      </c>
      <c r="G518">
        <v>2.52</v>
      </c>
      <c r="H518">
        <v>0.09</v>
      </c>
      <c r="I518">
        <v>0</v>
      </c>
      <c r="J518">
        <v>0.22</v>
      </c>
      <c r="K518">
        <v>2.83</v>
      </c>
    </row>
    <row r="519" spans="1:11" x14ac:dyDescent="0.3">
      <c r="A519">
        <v>518</v>
      </c>
      <c r="B519" t="s">
        <v>523</v>
      </c>
      <c r="C519" t="s">
        <v>42</v>
      </c>
      <c r="D519">
        <v>2010</v>
      </c>
      <c r="E519" t="s">
        <v>31</v>
      </c>
      <c r="F519" t="s">
        <v>110</v>
      </c>
      <c r="G519">
        <v>1.28</v>
      </c>
      <c r="H519">
        <v>1.05</v>
      </c>
      <c r="I519">
        <v>7.0000000000000007E-2</v>
      </c>
      <c r="J519">
        <v>0.43</v>
      </c>
      <c r="K519">
        <v>2.83</v>
      </c>
    </row>
    <row r="520" spans="1:11" x14ac:dyDescent="0.3">
      <c r="A520">
        <v>519</v>
      </c>
      <c r="B520" t="s">
        <v>524</v>
      </c>
      <c r="C520" t="s">
        <v>46</v>
      </c>
      <c r="D520">
        <v>2002</v>
      </c>
      <c r="E520" t="s">
        <v>72</v>
      </c>
      <c r="F520" t="s">
        <v>384</v>
      </c>
      <c r="G520">
        <v>1.32</v>
      </c>
      <c r="H520">
        <v>1.08</v>
      </c>
      <c r="I520">
        <v>0.04</v>
      </c>
      <c r="J520">
        <v>0.39</v>
      </c>
      <c r="K520">
        <v>2.83</v>
      </c>
    </row>
    <row r="521" spans="1:11" x14ac:dyDescent="0.3">
      <c r="A521">
        <v>520</v>
      </c>
      <c r="B521" t="s">
        <v>525</v>
      </c>
      <c r="C521" t="s">
        <v>146</v>
      </c>
      <c r="D521">
        <v>2002</v>
      </c>
      <c r="E521" t="s">
        <v>31</v>
      </c>
      <c r="F521" t="s">
        <v>14</v>
      </c>
      <c r="G521">
        <v>1.96</v>
      </c>
      <c r="H521">
        <v>0.67</v>
      </c>
      <c r="I521">
        <v>0.1</v>
      </c>
      <c r="J521">
        <v>0.09</v>
      </c>
      <c r="K521">
        <v>2.82</v>
      </c>
    </row>
    <row r="522" spans="1:11" x14ac:dyDescent="0.3">
      <c r="A522">
        <v>521</v>
      </c>
      <c r="B522" t="s">
        <v>526</v>
      </c>
      <c r="C522" t="s">
        <v>55</v>
      </c>
      <c r="D522">
        <v>2003</v>
      </c>
      <c r="E522" t="s">
        <v>43</v>
      </c>
      <c r="F522" t="s">
        <v>384</v>
      </c>
      <c r="G522">
        <v>1.59</v>
      </c>
      <c r="H522">
        <v>1.05</v>
      </c>
      <c r="I522">
        <v>0.04</v>
      </c>
      <c r="J522">
        <v>0.14000000000000001</v>
      </c>
      <c r="K522">
        <v>2.82</v>
      </c>
    </row>
    <row r="523" spans="1:11" x14ac:dyDescent="0.3">
      <c r="A523">
        <v>522</v>
      </c>
      <c r="B523" t="s">
        <v>527</v>
      </c>
      <c r="C523" t="s">
        <v>118</v>
      </c>
      <c r="D523">
        <v>1994</v>
      </c>
      <c r="E523" t="s">
        <v>83</v>
      </c>
      <c r="F523" t="s">
        <v>528</v>
      </c>
      <c r="G523">
        <v>0.02</v>
      </c>
      <c r="H523">
        <v>2.79</v>
      </c>
      <c r="I523">
        <v>0</v>
      </c>
      <c r="J523">
        <v>0</v>
      </c>
      <c r="K523">
        <v>2.81</v>
      </c>
    </row>
    <row r="524" spans="1:11" x14ac:dyDescent="0.3">
      <c r="A524">
        <v>523</v>
      </c>
      <c r="B524" t="s">
        <v>529</v>
      </c>
      <c r="C524" t="s">
        <v>42</v>
      </c>
      <c r="D524">
        <v>2010</v>
      </c>
      <c r="E524" t="s">
        <v>18</v>
      </c>
      <c r="F524" t="s">
        <v>110</v>
      </c>
      <c r="G524">
        <v>1.05</v>
      </c>
      <c r="H524">
        <v>1.25</v>
      </c>
      <c r="I524">
        <v>0.03</v>
      </c>
      <c r="J524">
        <v>0.48</v>
      </c>
      <c r="K524">
        <v>2.81</v>
      </c>
    </row>
    <row r="525" spans="1:11" x14ac:dyDescent="0.3">
      <c r="A525">
        <v>524</v>
      </c>
      <c r="B525" t="s">
        <v>530</v>
      </c>
      <c r="C525" t="s">
        <v>26</v>
      </c>
      <c r="D525">
        <v>2007</v>
      </c>
      <c r="E525" t="s">
        <v>33</v>
      </c>
      <c r="F525" t="s">
        <v>92</v>
      </c>
      <c r="G525">
        <v>1.32</v>
      </c>
      <c r="H525">
        <v>1.19</v>
      </c>
      <c r="I525">
        <v>0</v>
      </c>
      <c r="J525">
        <v>0.3</v>
      </c>
      <c r="K525">
        <v>2.81</v>
      </c>
    </row>
    <row r="526" spans="1:11" x14ac:dyDescent="0.3">
      <c r="A526">
        <v>525</v>
      </c>
      <c r="B526" t="s">
        <v>531</v>
      </c>
      <c r="C526" t="s">
        <v>46</v>
      </c>
      <c r="D526">
        <v>2003</v>
      </c>
      <c r="E526" t="s">
        <v>72</v>
      </c>
      <c r="F526" t="s">
        <v>384</v>
      </c>
      <c r="G526">
        <v>1.32</v>
      </c>
      <c r="H526">
        <v>1.06</v>
      </c>
      <c r="I526">
        <v>0.04</v>
      </c>
      <c r="J526">
        <v>0.38</v>
      </c>
      <c r="K526">
        <v>2.8</v>
      </c>
    </row>
    <row r="527" spans="1:11" x14ac:dyDescent="0.3">
      <c r="A527">
        <v>526</v>
      </c>
      <c r="B527" t="s">
        <v>532</v>
      </c>
      <c r="C527" t="s">
        <v>39</v>
      </c>
      <c r="D527">
        <v>2008</v>
      </c>
      <c r="E527" t="s">
        <v>43</v>
      </c>
      <c r="F527" t="s">
        <v>195</v>
      </c>
      <c r="G527">
        <v>1.74</v>
      </c>
      <c r="H527">
        <v>0.8</v>
      </c>
      <c r="I527">
        <v>0</v>
      </c>
      <c r="J527">
        <v>0.26</v>
      </c>
      <c r="K527">
        <v>2.8</v>
      </c>
    </row>
    <row r="528" spans="1:11" x14ac:dyDescent="0.3">
      <c r="A528">
        <v>527</v>
      </c>
      <c r="B528" t="s">
        <v>533</v>
      </c>
      <c r="C528" t="s">
        <v>26</v>
      </c>
      <c r="D528">
        <v>2006</v>
      </c>
      <c r="E528" t="s">
        <v>2</v>
      </c>
      <c r="F528" t="s">
        <v>14</v>
      </c>
      <c r="G528">
        <v>1.47</v>
      </c>
      <c r="H528">
        <v>7.0000000000000007E-2</v>
      </c>
      <c r="I528">
        <v>1.1000000000000001</v>
      </c>
      <c r="J528">
        <v>0.15</v>
      </c>
      <c r="K528">
        <v>2.8</v>
      </c>
    </row>
    <row r="529" spans="1:11" x14ac:dyDescent="0.3">
      <c r="A529">
        <v>528</v>
      </c>
      <c r="B529" t="s">
        <v>534</v>
      </c>
      <c r="C529" t="s">
        <v>86</v>
      </c>
      <c r="D529">
        <v>1997</v>
      </c>
      <c r="E529" t="s">
        <v>13</v>
      </c>
      <c r="F529" t="s">
        <v>59</v>
      </c>
      <c r="G529">
        <v>0.28999999999999998</v>
      </c>
      <c r="H529">
        <v>0.2</v>
      </c>
      <c r="I529">
        <v>2.13</v>
      </c>
      <c r="J529">
        <v>0.18</v>
      </c>
      <c r="K529">
        <v>2.79</v>
      </c>
    </row>
    <row r="530" spans="1:11" x14ac:dyDescent="0.3">
      <c r="A530">
        <v>529</v>
      </c>
      <c r="B530" t="s">
        <v>535</v>
      </c>
      <c r="C530" t="s">
        <v>42</v>
      </c>
      <c r="D530">
        <v>2011</v>
      </c>
      <c r="E530" t="s">
        <v>31</v>
      </c>
      <c r="F530" t="s">
        <v>59</v>
      </c>
      <c r="G530">
        <v>1.45</v>
      </c>
      <c r="H530">
        <v>0.88</v>
      </c>
      <c r="I530">
        <v>0.09</v>
      </c>
      <c r="J530">
        <v>0.38</v>
      </c>
      <c r="K530">
        <v>2.79</v>
      </c>
    </row>
    <row r="531" spans="1:11" x14ac:dyDescent="0.3">
      <c r="A531">
        <v>530</v>
      </c>
      <c r="B531" t="s">
        <v>536</v>
      </c>
      <c r="C531" t="s">
        <v>86</v>
      </c>
      <c r="D531">
        <v>1998</v>
      </c>
      <c r="E531" t="s">
        <v>2</v>
      </c>
      <c r="F531" t="s">
        <v>59</v>
      </c>
      <c r="G531">
        <v>1.96</v>
      </c>
      <c r="H531">
        <v>0.72</v>
      </c>
      <c r="I531">
        <v>0</v>
      </c>
      <c r="J531">
        <v>0.11</v>
      </c>
      <c r="K531">
        <v>2.79</v>
      </c>
    </row>
    <row r="532" spans="1:11" x14ac:dyDescent="0.3">
      <c r="A532">
        <v>531</v>
      </c>
      <c r="B532" t="s">
        <v>537</v>
      </c>
      <c r="C532" t="s">
        <v>46</v>
      </c>
      <c r="D532">
        <v>2001</v>
      </c>
      <c r="E532" t="s">
        <v>72</v>
      </c>
      <c r="F532" t="s">
        <v>384</v>
      </c>
      <c r="G532">
        <v>1.19</v>
      </c>
      <c r="H532">
        <v>1.1499999999999999</v>
      </c>
      <c r="I532">
        <v>0.04</v>
      </c>
      <c r="J532">
        <v>0.41</v>
      </c>
      <c r="K532">
        <v>2.79</v>
      </c>
    </row>
    <row r="533" spans="1:11" x14ac:dyDescent="0.3">
      <c r="A533">
        <v>532</v>
      </c>
      <c r="B533" t="s">
        <v>538</v>
      </c>
      <c r="C533" t="s">
        <v>48</v>
      </c>
      <c r="D533">
        <v>1992</v>
      </c>
      <c r="E533" t="s">
        <v>22</v>
      </c>
      <c r="F533" t="s">
        <v>275</v>
      </c>
      <c r="G533">
        <v>0</v>
      </c>
      <c r="H533">
        <v>0</v>
      </c>
      <c r="I533">
        <v>2.78</v>
      </c>
      <c r="J533">
        <v>0.01</v>
      </c>
      <c r="K533">
        <v>2.79</v>
      </c>
    </row>
    <row r="534" spans="1:11" x14ac:dyDescent="0.3">
      <c r="A534">
        <v>533</v>
      </c>
      <c r="B534" t="s">
        <v>539</v>
      </c>
      <c r="C534" t="s">
        <v>86</v>
      </c>
      <c r="D534">
        <v>1996</v>
      </c>
      <c r="E534" t="s">
        <v>72</v>
      </c>
      <c r="F534" t="s">
        <v>178</v>
      </c>
      <c r="G534">
        <v>1.98</v>
      </c>
      <c r="H534">
        <v>0.7</v>
      </c>
      <c r="I534">
        <v>0</v>
      </c>
      <c r="J534">
        <v>0.11</v>
      </c>
      <c r="K534">
        <v>2.79</v>
      </c>
    </row>
    <row r="535" spans="1:11" x14ac:dyDescent="0.3">
      <c r="A535">
        <v>534</v>
      </c>
      <c r="B535" t="s">
        <v>138</v>
      </c>
      <c r="C535" t="s">
        <v>118</v>
      </c>
      <c r="D535">
        <v>2011</v>
      </c>
      <c r="E535" t="s">
        <v>31</v>
      </c>
      <c r="F535" t="s">
        <v>110</v>
      </c>
      <c r="G535">
        <v>0.89</v>
      </c>
      <c r="H535">
        <v>1.43</v>
      </c>
      <c r="I535">
        <v>0</v>
      </c>
      <c r="J535">
        <v>0.48</v>
      </c>
      <c r="K535">
        <v>2.79</v>
      </c>
    </row>
    <row r="536" spans="1:11" x14ac:dyDescent="0.3">
      <c r="A536">
        <v>535</v>
      </c>
      <c r="B536" t="s">
        <v>540</v>
      </c>
      <c r="C536" t="s">
        <v>46</v>
      </c>
      <c r="D536">
        <v>2001</v>
      </c>
      <c r="E536" t="s">
        <v>13</v>
      </c>
      <c r="F536" t="s">
        <v>110</v>
      </c>
      <c r="G536">
        <v>2.19</v>
      </c>
      <c r="H536">
        <v>0.22</v>
      </c>
      <c r="I536">
        <v>0</v>
      </c>
      <c r="J536">
        <v>0.38</v>
      </c>
      <c r="K536">
        <v>2.79</v>
      </c>
    </row>
    <row r="537" spans="1:11" x14ac:dyDescent="0.3">
      <c r="A537">
        <v>536</v>
      </c>
      <c r="B537" t="s">
        <v>541</v>
      </c>
      <c r="C537" t="s">
        <v>26</v>
      </c>
      <c r="D537">
        <v>2009</v>
      </c>
      <c r="E537" t="s">
        <v>24</v>
      </c>
      <c r="F537" t="s">
        <v>14</v>
      </c>
      <c r="G537">
        <v>0.3</v>
      </c>
      <c r="H537">
        <v>1.47</v>
      </c>
      <c r="I537">
        <v>0.68</v>
      </c>
      <c r="J537">
        <v>0.34</v>
      </c>
      <c r="K537">
        <v>2.79</v>
      </c>
    </row>
    <row r="538" spans="1:11" x14ac:dyDescent="0.3">
      <c r="A538">
        <v>537</v>
      </c>
      <c r="B538" t="s">
        <v>542</v>
      </c>
      <c r="C538" t="s">
        <v>65</v>
      </c>
      <c r="D538">
        <v>2011</v>
      </c>
      <c r="E538" t="s">
        <v>22</v>
      </c>
      <c r="F538" t="s">
        <v>14</v>
      </c>
      <c r="G538">
        <v>0.46</v>
      </c>
      <c r="H538">
        <v>0.28999999999999998</v>
      </c>
      <c r="I538">
        <v>1.96</v>
      </c>
      <c r="J538">
        <v>7.0000000000000007E-2</v>
      </c>
      <c r="K538">
        <v>2.79</v>
      </c>
    </row>
    <row r="539" spans="1:11" x14ac:dyDescent="0.3">
      <c r="A539">
        <v>538</v>
      </c>
      <c r="B539" t="s">
        <v>543</v>
      </c>
      <c r="C539" t="s">
        <v>46</v>
      </c>
      <c r="D539">
        <v>2003</v>
      </c>
      <c r="E539" t="s">
        <v>2</v>
      </c>
      <c r="F539" t="s">
        <v>59</v>
      </c>
      <c r="G539">
        <v>1.68</v>
      </c>
      <c r="H539">
        <v>0.74</v>
      </c>
      <c r="I539">
        <v>0</v>
      </c>
      <c r="J539">
        <v>0.36</v>
      </c>
      <c r="K539">
        <v>2.78</v>
      </c>
    </row>
    <row r="540" spans="1:11" x14ac:dyDescent="0.3">
      <c r="A540">
        <v>539</v>
      </c>
      <c r="B540" t="s">
        <v>544</v>
      </c>
      <c r="C540" t="s">
        <v>67</v>
      </c>
      <c r="D540">
        <v>2014</v>
      </c>
      <c r="E540" t="s">
        <v>43</v>
      </c>
      <c r="F540" t="s">
        <v>59</v>
      </c>
      <c r="G540">
        <v>1.27</v>
      </c>
      <c r="H540">
        <v>0.97</v>
      </c>
      <c r="I540">
        <v>7.0000000000000007E-2</v>
      </c>
      <c r="J540">
        <v>0.47</v>
      </c>
      <c r="K540">
        <v>2.78</v>
      </c>
    </row>
    <row r="541" spans="1:11" x14ac:dyDescent="0.3">
      <c r="A541">
        <v>540</v>
      </c>
      <c r="B541" t="s">
        <v>545</v>
      </c>
      <c r="C541" t="s">
        <v>46</v>
      </c>
      <c r="D541">
        <v>2003</v>
      </c>
      <c r="E541" t="s">
        <v>2</v>
      </c>
      <c r="F541" t="s">
        <v>59</v>
      </c>
      <c r="G541">
        <v>1.44</v>
      </c>
      <c r="H541">
        <v>0.83</v>
      </c>
      <c r="I541">
        <v>0.26</v>
      </c>
      <c r="J541">
        <v>0.25</v>
      </c>
      <c r="K541">
        <v>2.78</v>
      </c>
    </row>
    <row r="542" spans="1:11" x14ac:dyDescent="0.3">
      <c r="A542">
        <v>541</v>
      </c>
      <c r="B542" t="s">
        <v>546</v>
      </c>
      <c r="C542" t="s">
        <v>42</v>
      </c>
      <c r="D542">
        <v>2009</v>
      </c>
      <c r="E542" t="s">
        <v>72</v>
      </c>
      <c r="F542" t="s">
        <v>295</v>
      </c>
      <c r="G542">
        <v>1.2</v>
      </c>
      <c r="H542">
        <v>0.98</v>
      </c>
      <c r="I542">
        <v>0.17</v>
      </c>
      <c r="J542">
        <v>0.43</v>
      </c>
      <c r="K542">
        <v>2.78</v>
      </c>
    </row>
    <row r="543" spans="1:11" x14ac:dyDescent="0.3">
      <c r="A543">
        <v>542</v>
      </c>
      <c r="B543" t="s">
        <v>547</v>
      </c>
      <c r="C543" t="s">
        <v>46</v>
      </c>
      <c r="D543">
        <v>2003</v>
      </c>
      <c r="E543" t="s">
        <v>33</v>
      </c>
      <c r="F543" t="s">
        <v>110</v>
      </c>
      <c r="G543">
        <v>1.41</v>
      </c>
      <c r="H543">
        <v>1.1200000000000001</v>
      </c>
      <c r="I543">
        <v>0</v>
      </c>
      <c r="J543">
        <v>0.24</v>
      </c>
      <c r="K543">
        <v>2.77</v>
      </c>
    </row>
    <row r="544" spans="1:11" x14ac:dyDescent="0.3">
      <c r="A544">
        <v>543</v>
      </c>
      <c r="B544" t="s">
        <v>548</v>
      </c>
      <c r="C544" t="s">
        <v>12</v>
      </c>
      <c r="D544">
        <v>2007</v>
      </c>
      <c r="E544" t="s">
        <v>2</v>
      </c>
      <c r="F544" t="s">
        <v>121</v>
      </c>
      <c r="G544">
        <v>1.24</v>
      </c>
      <c r="H544">
        <v>1.2</v>
      </c>
      <c r="I544">
        <v>0.04</v>
      </c>
      <c r="J544">
        <v>0.3</v>
      </c>
      <c r="K544">
        <v>2.77</v>
      </c>
    </row>
    <row r="545" spans="1:11" x14ac:dyDescent="0.3">
      <c r="A545">
        <v>544</v>
      </c>
      <c r="B545" t="s">
        <v>549</v>
      </c>
      <c r="C545" t="s">
        <v>39</v>
      </c>
      <c r="D545">
        <v>2011</v>
      </c>
      <c r="E545" t="s">
        <v>43</v>
      </c>
      <c r="F545" t="s">
        <v>384</v>
      </c>
      <c r="G545">
        <v>1.25</v>
      </c>
      <c r="H545">
        <v>1.1499999999999999</v>
      </c>
      <c r="I545">
        <v>7.0000000000000007E-2</v>
      </c>
      <c r="J545">
        <v>0.3</v>
      </c>
      <c r="K545">
        <v>2.77</v>
      </c>
    </row>
    <row r="546" spans="1:11" x14ac:dyDescent="0.3">
      <c r="A546">
        <v>545</v>
      </c>
      <c r="B546" t="s">
        <v>550</v>
      </c>
      <c r="C546">
        <v>2600</v>
      </c>
      <c r="D546">
        <v>1980</v>
      </c>
      <c r="E546" t="s">
        <v>31</v>
      </c>
      <c r="F546" t="s">
        <v>127</v>
      </c>
      <c r="G546">
        <v>2.56</v>
      </c>
      <c r="H546">
        <v>0.17</v>
      </c>
      <c r="I546">
        <v>0</v>
      </c>
      <c r="J546">
        <v>0.03</v>
      </c>
      <c r="K546">
        <v>2.76</v>
      </c>
    </row>
    <row r="547" spans="1:11" x14ac:dyDescent="0.3">
      <c r="A547">
        <v>546</v>
      </c>
      <c r="B547" t="s">
        <v>551</v>
      </c>
      <c r="C547" t="s">
        <v>48</v>
      </c>
      <c r="D547">
        <v>1992</v>
      </c>
      <c r="E547" t="s">
        <v>28</v>
      </c>
      <c r="F547" t="s">
        <v>14</v>
      </c>
      <c r="G547">
        <v>1.43</v>
      </c>
      <c r="H547">
        <v>0.54</v>
      </c>
      <c r="I547">
        <v>0.71</v>
      </c>
      <c r="J547">
        <v>7.0000000000000007E-2</v>
      </c>
      <c r="K547">
        <v>2.75</v>
      </c>
    </row>
    <row r="548" spans="1:11" x14ac:dyDescent="0.3">
      <c r="A548">
        <v>547</v>
      </c>
      <c r="B548" t="s">
        <v>334</v>
      </c>
      <c r="C548" t="s">
        <v>67</v>
      </c>
      <c r="D548">
        <v>2013</v>
      </c>
      <c r="E548" t="s">
        <v>43</v>
      </c>
      <c r="F548" t="s">
        <v>92</v>
      </c>
      <c r="G548">
        <v>1.07</v>
      </c>
      <c r="H548">
        <v>1.31</v>
      </c>
      <c r="I548">
        <v>0.06</v>
      </c>
      <c r="J548">
        <v>0.31</v>
      </c>
      <c r="K548">
        <v>2.74</v>
      </c>
    </row>
    <row r="549" spans="1:11" x14ac:dyDescent="0.3">
      <c r="A549">
        <v>548</v>
      </c>
      <c r="B549" t="s">
        <v>552</v>
      </c>
      <c r="C549" t="s">
        <v>78</v>
      </c>
      <c r="D549">
        <v>2000</v>
      </c>
      <c r="E549" t="s">
        <v>211</v>
      </c>
      <c r="F549" t="s">
        <v>14</v>
      </c>
      <c r="G549">
        <v>1.02</v>
      </c>
      <c r="H549">
        <v>0.36</v>
      </c>
      <c r="I549">
        <v>1.1299999999999999</v>
      </c>
      <c r="J549">
        <v>0.23</v>
      </c>
      <c r="K549">
        <v>2.73</v>
      </c>
    </row>
    <row r="550" spans="1:11" x14ac:dyDescent="0.3">
      <c r="A550">
        <v>549</v>
      </c>
      <c r="B550" t="s">
        <v>553</v>
      </c>
      <c r="C550" t="s">
        <v>16</v>
      </c>
      <c r="D550">
        <v>1986</v>
      </c>
      <c r="E550" t="s">
        <v>43</v>
      </c>
      <c r="F550" t="s">
        <v>14</v>
      </c>
      <c r="G550">
        <v>1.33</v>
      </c>
      <c r="H550">
        <v>0.31</v>
      </c>
      <c r="I550">
        <v>1.04</v>
      </c>
      <c r="J550">
        <v>0.05</v>
      </c>
      <c r="K550">
        <v>2.73</v>
      </c>
    </row>
    <row r="551" spans="1:11" x14ac:dyDescent="0.3">
      <c r="A551">
        <v>550</v>
      </c>
      <c r="B551" t="s">
        <v>433</v>
      </c>
      <c r="C551" t="s">
        <v>39</v>
      </c>
      <c r="D551">
        <v>2011</v>
      </c>
      <c r="E551" t="s">
        <v>83</v>
      </c>
      <c r="F551" t="s">
        <v>44</v>
      </c>
      <c r="G551">
        <v>1.52</v>
      </c>
      <c r="H551">
        <v>0.94</v>
      </c>
      <c r="I551">
        <v>0.02</v>
      </c>
      <c r="J551">
        <v>0.24</v>
      </c>
      <c r="K551">
        <v>2.72</v>
      </c>
    </row>
    <row r="552" spans="1:11" x14ac:dyDescent="0.3">
      <c r="A552">
        <v>551</v>
      </c>
      <c r="B552" t="s">
        <v>554</v>
      </c>
      <c r="C552" t="s">
        <v>39</v>
      </c>
      <c r="D552">
        <v>2006</v>
      </c>
      <c r="E552" t="s">
        <v>31</v>
      </c>
      <c r="F552" t="s">
        <v>61</v>
      </c>
      <c r="G552">
        <v>1.49</v>
      </c>
      <c r="H552">
        <v>0.93</v>
      </c>
      <c r="I552">
        <v>0.02</v>
      </c>
      <c r="J552">
        <v>0.27</v>
      </c>
      <c r="K552">
        <v>2.71</v>
      </c>
    </row>
    <row r="553" spans="1:11" x14ac:dyDescent="0.3">
      <c r="A553">
        <v>552</v>
      </c>
      <c r="B553" t="s">
        <v>265</v>
      </c>
      <c r="C553" t="s">
        <v>55</v>
      </c>
      <c r="D553">
        <v>2002</v>
      </c>
      <c r="E553" t="s">
        <v>43</v>
      </c>
      <c r="F553" t="s">
        <v>14</v>
      </c>
      <c r="G553">
        <v>1.75</v>
      </c>
      <c r="H553">
        <v>0.52</v>
      </c>
      <c r="I553">
        <v>0.33</v>
      </c>
      <c r="J553">
        <v>0.1</v>
      </c>
      <c r="K553">
        <v>2.7</v>
      </c>
    </row>
    <row r="554" spans="1:11" x14ac:dyDescent="0.3">
      <c r="A554">
        <v>553</v>
      </c>
      <c r="B554" t="s">
        <v>555</v>
      </c>
      <c r="C554" t="s">
        <v>46</v>
      </c>
      <c r="D554">
        <v>2001</v>
      </c>
      <c r="E554" t="s">
        <v>43</v>
      </c>
      <c r="F554" t="s">
        <v>197</v>
      </c>
      <c r="G554">
        <v>0.99</v>
      </c>
      <c r="H554">
        <v>0.48</v>
      </c>
      <c r="I554">
        <v>1.0900000000000001</v>
      </c>
      <c r="J554">
        <v>0.14000000000000001</v>
      </c>
      <c r="K554">
        <v>2.7</v>
      </c>
    </row>
    <row r="555" spans="1:11" x14ac:dyDescent="0.3">
      <c r="A555">
        <v>554</v>
      </c>
      <c r="B555" t="s">
        <v>556</v>
      </c>
      <c r="C555" t="s">
        <v>67</v>
      </c>
      <c r="D555">
        <v>2015</v>
      </c>
      <c r="E555" t="s">
        <v>72</v>
      </c>
      <c r="F555" t="s">
        <v>205</v>
      </c>
      <c r="G555">
        <v>1.47</v>
      </c>
      <c r="H555">
        <v>0.76</v>
      </c>
      <c r="I555">
        <v>0</v>
      </c>
      <c r="J555">
        <v>0.47</v>
      </c>
      <c r="K555">
        <v>2.7</v>
      </c>
    </row>
    <row r="556" spans="1:11" x14ac:dyDescent="0.3">
      <c r="A556">
        <v>555</v>
      </c>
      <c r="B556" t="s">
        <v>557</v>
      </c>
      <c r="C556" t="s">
        <v>78</v>
      </c>
      <c r="D556">
        <v>1998</v>
      </c>
      <c r="E556" t="s">
        <v>28</v>
      </c>
      <c r="F556" t="s">
        <v>14</v>
      </c>
      <c r="G556">
        <v>1.25</v>
      </c>
      <c r="H556">
        <v>0.53</v>
      </c>
      <c r="I556">
        <v>0.87</v>
      </c>
      <c r="J556">
        <v>0.05</v>
      </c>
      <c r="K556">
        <v>2.7</v>
      </c>
    </row>
    <row r="557" spans="1:11" x14ac:dyDescent="0.3">
      <c r="A557">
        <v>556</v>
      </c>
      <c r="B557" t="s">
        <v>558</v>
      </c>
      <c r="C557" t="s">
        <v>39</v>
      </c>
      <c r="D557">
        <v>2011</v>
      </c>
      <c r="E557" t="s">
        <v>13</v>
      </c>
      <c r="F557" t="s">
        <v>110</v>
      </c>
      <c r="G557">
        <v>2.42</v>
      </c>
      <c r="H557">
        <v>0.11</v>
      </c>
      <c r="I557">
        <v>0</v>
      </c>
      <c r="J557">
        <v>0.16</v>
      </c>
      <c r="K557">
        <v>2.69</v>
      </c>
    </row>
    <row r="558" spans="1:11" x14ac:dyDescent="0.3">
      <c r="A558">
        <v>557</v>
      </c>
      <c r="B558" t="s">
        <v>559</v>
      </c>
      <c r="C558" t="s">
        <v>46</v>
      </c>
      <c r="D558">
        <v>2006</v>
      </c>
      <c r="E558" t="s">
        <v>43</v>
      </c>
      <c r="F558" t="s">
        <v>195</v>
      </c>
      <c r="G558">
        <v>1.85</v>
      </c>
      <c r="H558">
        <v>0.64</v>
      </c>
      <c r="I558">
        <v>0.01</v>
      </c>
      <c r="J558">
        <v>0.19</v>
      </c>
      <c r="K558">
        <v>2.69</v>
      </c>
    </row>
    <row r="559" spans="1:11" x14ac:dyDescent="0.3">
      <c r="A559">
        <v>558</v>
      </c>
      <c r="B559" t="s">
        <v>560</v>
      </c>
      <c r="C559" t="s">
        <v>39</v>
      </c>
      <c r="D559">
        <v>2010</v>
      </c>
      <c r="E559" t="s">
        <v>13</v>
      </c>
      <c r="F559" t="s">
        <v>110</v>
      </c>
      <c r="G559">
        <v>2.38</v>
      </c>
      <c r="H559">
        <v>0.12</v>
      </c>
      <c r="I559">
        <v>0</v>
      </c>
      <c r="J559">
        <v>0.18</v>
      </c>
      <c r="K559">
        <v>2.69</v>
      </c>
    </row>
    <row r="560" spans="1:11" x14ac:dyDescent="0.3">
      <c r="A560">
        <v>559</v>
      </c>
      <c r="B560" t="s">
        <v>561</v>
      </c>
      <c r="C560" t="s">
        <v>26</v>
      </c>
      <c r="D560">
        <v>2010</v>
      </c>
      <c r="E560" t="s">
        <v>24</v>
      </c>
      <c r="F560" t="s">
        <v>14</v>
      </c>
      <c r="G560">
        <v>1.63</v>
      </c>
      <c r="H560">
        <v>0.52</v>
      </c>
      <c r="I560">
        <v>0.35</v>
      </c>
      <c r="J560">
        <v>0.18</v>
      </c>
      <c r="K560">
        <v>2.69</v>
      </c>
    </row>
    <row r="561" spans="1:11" x14ac:dyDescent="0.3">
      <c r="A561">
        <v>560</v>
      </c>
      <c r="B561" t="s">
        <v>562</v>
      </c>
      <c r="C561" t="s">
        <v>39</v>
      </c>
      <c r="D561">
        <v>2010</v>
      </c>
      <c r="E561" t="s">
        <v>13</v>
      </c>
      <c r="F561" t="s">
        <v>110</v>
      </c>
      <c r="G561">
        <v>1.46</v>
      </c>
      <c r="H561">
        <v>0.98</v>
      </c>
      <c r="I561">
        <v>0</v>
      </c>
      <c r="J561">
        <v>0.24</v>
      </c>
      <c r="K561">
        <v>2.68</v>
      </c>
    </row>
    <row r="562" spans="1:11" x14ac:dyDescent="0.3">
      <c r="A562">
        <v>561</v>
      </c>
      <c r="B562" t="s">
        <v>563</v>
      </c>
      <c r="C562" t="s">
        <v>46</v>
      </c>
      <c r="D562">
        <v>2004</v>
      </c>
      <c r="E562" t="s">
        <v>18</v>
      </c>
      <c r="F562" t="s">
        <v>110</v>
      </c>
      <c r="G562">
        <v>1.23</v>
      </c>
      <c r="H562">
        <v>1.1100000000000001</v>
      </c>
      <c r="I562">
        <v>0</v>
      </c>
      <c r="J562">
        <v>0.34</v>
      </c>
      <c r="K562">
        <v>2.68</v>
      </c>
    </row>
    <row r="563" spans="1:11" x14ac:dyDescent="0.3">
      <c r="A563">
        <v>562</v>
      </c>
      <c r="B563" t="s">
        <v>564</v>
      </c>
      <c r="C563" t="s">
        <v>65</v>
      </c>
      <c r="D563">
        <v>2014</v>
      </c>
      <c r="E563" t="s">
        <v>22</v>
      </c>
      <c r="F563" t="s">
        <v>565</v>
      </c>
      <c r="G563">
        <v>0</v>
      </c>
      <c r="H563">
        <v>0</v>
      </c>
      <c r="I563">
        <v>2.68</v>
      </c>
      <c r="J563">
        <v>0</v>
      </c>
      <c r="K563">
        <v>2.68</v>
      </c>
    </row>
    <row r="564" spans="1:11" x14ac:dyDescent="0.3">
      <c r="A564">
        <v>563</v>
      </c>
      <c r="B564" t="s">
        <v>566</v>
      </c>
      <c r="C564" t="s">
        <v>42</v>
      </c>
      <c r="D564">
        <v>2009</v>
      </c>
      <c r="E564" t="s">
        <v>18</v>
      </c>
      <c r="F564" t="s">
        <v>110</v>
      </c>
      <c r="G564">
        <v>0.69</v>
      </c>
      <c r="H564">
        <v>1.41</v>
      </c>
      <c r="I564">
        <v>0.04</v>
      </c>
      <c r="J564">
        <v>0.53</v>
      </c>
      <c r="K564">
        <v>2.68</v>
      </c>
    </row>
    <row r="565" spans="1:11" x14ac:dyDescent="0.3">
      <c r="A565">
        <v>564</v>
      </c>
      <c r="B565" t="s">
        <v>567</v>
      </c>
      <c r="C565" t="s">
        <v>42</v>
      </c>
      <c r="D565">
        <v>2011</v>
      </c>
      <c r="E565" t="s">
        <v>22</v>
      </c>
      <c r="F565" t="s">
        <v>191</v>
      </c>
      <c r="G565">
        <v>0.78</v>
      </c>
      <c r="H565">
        <v>0.75</v>
      </c>
      <c r="I565">
        <v>0.89</v>
      </c>
      <c r="J565">
        <v>0.26</v>
      </c>
      <c r="K565">
        <v>2.68</v>
      </c>
    </row>
    <row r="566" spans="1:11" x14ac:dyDescent="0.3">
      <c r="A566">
        <v>565</v>
      </c>
      <c r="B566" t="s">
        <v>516</v>
      </c>
      <c r="C566" t="s">
        <v>185</v>
      </c>
      <c r="D566">
        <v>1992</v>
      </c>
      <c r="E566" t="s">
        <v>72</v>
      </c>
      <c r="F566" t="s">
        <v>568</v>
      </c>
      <c r="G566">
        <v>1.95</v>
      </c>
      <c r="H566">
        <v>0.63</v>
      </c>
      <c r="I566">
        <v>0</v>
      </c>
      <c r="J566">
        <v>0.09</v>
      </c>
      <c r="K566">
        <v>2.67</v>
      </c>
    </row>
    <row r="567" spans="1:11" x14ac:dyDescent="0.3">
      <c r="A567">
        <v>566</v>
      </c>
      <c r="B567" t="s">
        <v>569</v>
      </c>
      <c r="C567" t="s">
        <v>46</v>
      </c>
      <c r="D567">
        <v>2005</v>
      </c>
      <c r="E567" t="s">
        <v>31</v>
      </c>
      <c r="F567" t="s">
        <v>61</v>
      </c>
      <c r="G567">
        <v>1.48</v>
      </c>
      <c r="H567">
        <v>0.92</v>
      </c>
      <c r="I567">
        <v>0.01</v>
      </c>
      <c r="J567">
        <v>0.26</v>
      </c>
      <c r="K567">
        <v>2.67</v>
      </c>
    </row>
    <row r="568" spans="1:11" x14ac:dyDescent="0.3">
      <c r="A568">
        <v>567</v>
      </c>
      <c r="B568" t="s">
        <v>369</v>
      </c>
      <c r="C568" t="s">
        <v>39</v>
      </c>
      <c r="D568">
        <v>2008</v>
      </c>
      <c r="E568" t="s">
        <v>28</v>
      </c>
      <c r="F568" t="s">
        <v>61</v>
      </c>
      <c r="G568">
        <v>1.78</v>
      </c>
      <c r="H568">
        <v>0.64</v>
      </c>
      <c r="I568">
        <v>0</v>
      </c>
      <c r="J568">
        <v>0.25</v>
      </c>
      <c r="K568">
        <v>2.67</v>
      </c>
    </row>
    <row r="569" spans="1:11" x14ac:dyDescent="0.3">
      <c r="A569">
        <v>568</v>
      </c>
      <c r="B569" t="s">
        <v>523</v>
      </c>
      <c r="C569" t="s">
        <v>86</v>
      </c>
      <c r="D569">
        <v>1998</v>
      </c>
      <c r="E569" t="s">
        <v>31</v>
      </c>
      <c r="F569" t="s">
        <v>110</v>
      </c>
      <c r="G569">
        <v>1.44</v>
      </c>
      <c r="H569">
        <v>1.0900000000000001</v>
      </c>
      <c r="I569">
        <v>0</v>
      </c>
      <c r="J569">
        <v>0.14000000000000001</v>
      </c>
      <c r="K569">
        <v>2.67</v>
      </c>
    </row>
    <row r="570" spans="1:11" x14ac:dyDescent="0.3">
      <c r="A570">
        <v>569</v>
      </c>
      <c r="B570" t="s">
        <v>570</v>
      </c>
      <c r="C570" t="s">
        <v>113</v>
      </c>
      <c r="D570">
        <v>2004</v>
      </c>
      <c r="E570" t="s">
        <v>22</v>
      </c>
      <c r="F570" t="s">
        <v>40</v>
      </c>
      <c r="G570">
        <v>1.99</v>
      </c>
      <c r="H570">
        <v>0.57999999999999996</v>
      </c>
      <c r="I570">
        <v>0</v>
      </c>
      <c r="J570">
        <v>0.09</v>
      </c>
      <c r="K570">
        <v>2.66</v>
      </c>
    </row>
    <row r="571" spans="1:11" x14ac:dyDescent="0.3">
      <c r="A571">
        <v>570</v>
      </c>
      <c r="B571" t="s">
        <v>571</v>
      </c>
      <c r="C571" t="s">
        <v>26</v>
      </c>
      <c r="D571">
        <v>2006</v>
      </c>
      <c r="E571" t="s">
        <v>43</v>
      </c>
      <c r="F571" t="s">
        <v>450</v>
      </c>
      <c r="G571">
        <v>1.59</v>
      </c>
      <c r="H571">
        <v>0.8</v>
      </c>
      <c r="I571">
        <v>0</v>
      </c>
      <c r="J571">
        <v>0.26</v>
      </c>
      <c r="K571">
        <v>2.65</v>
      </c>
    </row>
    <row r="572" spans="1:11" x14ac:dyDescent="0.3">
      <c r="A572">
        <v>571</v>
      </c>
      <c r="B572" t="s">
        <v>476</v>
      </c>
      <c r="C572" t="s">
        <v>46</v>
      </c>
      <c r="D572">
        <v>2003</v>
      </c>
      <c r="E572" t="s">
        <v>43</v>
      </c>
      <c r="F572" t="s">
        <v>92</v>
      </c>
      <c r="G572">
        <v>1.1499999999999999</v>
      </c>
      <c r="H572">
        <v>1.1100000000000001</v>
      </c>
      <c r="I572">
        <v>0</v>
      </c>
      <c r="J572">
        <v>0.4</v>
      </c>
      <c r="K572">
        <v>2.65</v>
      </c>
    </row>
    <row r="573" spans="1:11" x14ac:dyDescent="0.3">
      <c r="A573">
        <v>572</v>
      </c>
      <c r="B573" t="s">
        <v>572</v>
      </c>
      <c r="C573" t="s">
        <v>12</v>
      </c>
      <c r="D573">
        <v>2012</v>
      </c>
      <c r="E573" t="s">
        <v>43</v>
      </c>
      <c r="F573" t="s">
        <v>61</v>
      </c>
      <c r="G573">
        <v>1.56</v>
      </c>
      <c r="H573">
        <v>0.88</v>
      </c>
      <c r="I573">
        <v>0</v>
      </c>
      <c r="J573">
        <v>0.22</v>
      </c>
      <c r="K573">
        <v>2.65</v>
      </c>
    </row>
    <row r="574" spans="1:11" x14ac:dyDescent="0.3">
      <c r="A574">
        <v>573</v>
      </c>
      <c r="B574" t="s">
        <v>573</v>
      </c>
      <c r="C574" t="s">
        <v>129</v>
      </c>
      <c r="D574">
        <v>2006</v>
      </c>
      <c r="E574" t="s">
        <v>31</v>
      </c>
      <c r="F574" t="s">
        <v>110</v>
      </c>
      <c r="G574">
        <v>0.86</v>
      </c>
      <c r="H574">
        <v>1.1100000000000001</v>
      </c>
      <c r="I574">
        <v>0.01</v>
      </c>
      <c r="J574">
        <v>0.66</v>
      </c>
      <c r="K574">
        <v>2.65</v>
      </c>
    </row>
    <row r="575" spans="1:11" x14ac:dyDescent="0.3">
      <c r="A575">
        <v>574</v>
      </c>
      <c r="B575" t="s">
        <v>574</v>
      </c>
      <c r="C575" t="s">
        <v>16</v>
      </c>
      <c r="D575">
        <v>1986</v>
      </c>
      <c r="E575" t="s">
        <v>2</v>
      </c>
      <c r="F575" t="s">
        <v>14</v>
      </c>
      <c r="G575">
        <v>0</v>
      </c>
      <c r="H575">
        <v>0</v>
      </c>
      <c r="I575">
        <v>2.65</v>
      </c>
      <c r="J575">
        <v>0</v>
      </c>
      <c r="K575">
        <v>2.65</v>
      </c>
    </row>
    <row r="576" spans="1:11" x14ac:dyDescent="0.3">
      <c r="A576">
        <v>575</v>
      </c>
      <c r="B576" t="s">
        <v>575</v>
      </c>
      <c r="C576" t="s">
        <v>78</v>
      </c>
      <c r="D576">
        <v>1996</v>
      </c>
      <c r="E576" t="s">
        <v>43</v>
      </c>
      <c r="F576" t="s">
        <v>14</v>
      </c>
      <c r="G576">
        <v>2</v>
      </c>
      <c r="H576">
        <v>0.5</v>
      </c>
      <c r="I576">
        <v>0.12</v>
      </c>
      <c r="J576">
        <v>0.03</v>
      </c>
      <c r="K576">
        <v>2.65</v>
      </c>
    </row>
    <row r="577" spans="1:11" x14ac:dyDescent="0.3">
      <c r="A577">
        <v>576</v>
      </c>
      <c r="B577" t="s">
        <v>194</v>
      </c>
      <c r="C577" t="s">
        <v>39</v>
      </c>
      <c r="D577">
        <v>2007</v>
      </c>
      <c r="E577" t="s">
        <v>43</v>
      </c>
      <c r="F577" t="s">
        <v>195</v>
      </c>
      <c r="G577">
        <v>1.53</v>
      </c>
      <c r="H577">
        <v>0.87</v>
      </c>
      <c r="I577">
        <v>0</v>
      </c>
      <c r="J577">
        <v>0.24</v>
      </c>
      <c r="K577">
        <v>2.64</v>
      </c>
    </row>
    <row r="578" spans="1:11" x14ac:dyDescent="0.3">
      <c r="A578">
        <v>577</v>
      </c>
      <c r="B578" t="s">
        <v>576</v>
      </c>
      <c r="C578" t="s">
        <v>46</v>
      </c>
      <c r="D578">
        <v>2000</v>
      </c>
      <c r="E578" t="s">
        <v>18</v>
      </c>
      <c r="F578" t="s">
        <v>44</v>
      </c>
      <c r="G578">
        <v>2</v>
      </c>
      <c r="H578">
        <v>0.47</v>
      </c>
      <c r="I578">
        <v>0.02</v>
      </c>
      <c r="J578">
        <v>0.14000000000000001</v>
      </c>
      <c r="K578">
        <v>2.63</v>
      </c>
    </row>
    <row r="579" spans="1:11" x14ac:dyDescent="0.3">
      <c r="A579">
        <v>578</v>
      </c>
      <c r="B579" t="s">
        <v>577</v>
      </c>
      <c r="C579" t="s">
        <v>129</v>
      </c>
      <c r="D579">
        <v>2006</v>
      </c>
      <c r="E579" t="s">
        <v>72</v>
      </c>
      <c r="F579" t="s">
        <v>59</v>
      </c>
      <c r="G579">
        <v>0.76</v>
      </c>
      <c r="H579">
        <v>1.1000000000000001</v>
      </c>
      <c r="I579">
        <v>0.12</v>
      </c>
      <c r="J579">
        <v>0.65</v>
      </c>
      <c r="K579">
        <v>2.63</v>
      </c>
    </row>
    <row r="580" spans="1:11" x14ac:dyDescent="0.3">
      <c r="A580">
        <v>579</v>
      </c>
      <c r="B580" t="s">
        <v>578</v>
      </c>
      <c r="C580" t="s">
        <v>39</v>
      </c>
      <c r="D580">
        <v>2009</v>
      </c>
      <c r="E580" t="s">
        <v>211</v>
      </c>
      <c r="F580" t="s">
        <v>40</v>
      </c>
      <c r="G580">
        <v>1.53</v>
      </c>
      <c r="H580">
        <v>0.82</v>
      </c>
      <c r="I580">
        <v>0.04</v>
      </c>
      <c r="J580">
        <v>0.24</v>
      </c>
      <c r="K580">
        <v>2.63</v>
      </c>
    </row>
    <row r="581" spans="1:11" x14ac:dyDescent="0.3">
      <c r="A581">
        <v>580</v>
      </c>
      <c r="B581" t="s">
        <v>579</v>
      </c>
      <c r="C581" t="s">
        <v>42</v>
      </c>
      <c r="D581">
        <v>2009</v>
      </c>
      <c r="E581" t="s">
        <v>43</v>
      </c>
      <c r="F581" t="s">
        <v>59</v>
      </c>
      <c r="G581">
        <v>1.7</v>
      </c>
      <c r="H581">
        <v>0.46</v>
      </c>
      <c r="I581">
        <v>0.06</v>
      </c>
      <c r="J581">
        <v>0.41</v>
      </c>
      <c r="K581">
        <v>2.63</v>
      </c>
    </row>
    <row r="582" spans="1:11" x14ac:dyDescent="0.3">
      <c r="A582">
        <v>581</v>
      </c>
      <c r="B582" t="s">
        <v>580</v>
      </c>
      <c r="C582" t="s">
        <v>46</v>
      </c>
      <c r="D582">
        <v>2004</v>
      </c>
      <c r="E582" t="s">
        <v>13</v>
      </c>
      <c r="F582" t="s">
        <v>121</v>
      </c>
      <c r="G582">
        <v>2.15</v>
      </c>
      <c r="H582">
        <v>0.12</v>
      </c>
      <c r="I582">
        <v>0</v>
      </c>
      <c r="J582">
        <v>0.36</v>
      </c>
      <c r="K582">
        <v>2.62</v>
      </c>
    </row>
    <row r="583" spans="1:11" x14ac:dyDescent="0.3">
      <c r="A583">
        <v>582</v>
      </c>
      <c r="B583" t="s">
        <v>581</v>
      </c>
      <c r="C583" t="s">
        <v>12</v>
      </c>
      <c r="D583">
        <v>2007</v>
      </c>
      <c r="E583" t="s">
        <v>13</v>
      </c>
      <c r="F583" t="s">
        <v>14</v>
      </c>
      <c r="G583">
        <v>1.07</v>
      </c>
      <c r="H583">
        <v>1.06</v>
      </c>
      <c r="I583">
        <v>0.24</v>
      </c>
      <c r="J583">
        <v>0.25</v>
      </c>
      <c r="K583">
        <v>2.62</v>
      </c>
    </row>
    <row r="584" spans="1:11" x14ac:dyDescent="0.3">
      <c r="A584">
        <v>583</v>
      </c>
      <c r="B584" t="s">
        <v>523</v>
      </c>
      <c r="C584" t="s">
        <v>39</v>
      </c>
      <c r="D584">
        <v>2010</v>
      </c>
      <c r="E584" t="s">
        <v>31</v>
      </c>
      <c r="F584" t="s">
        <v>110</v>
      </c>
      <c r="G584">
        <v>1.55</v>
      </c>
      <c r="H584">
        <v>0.81</v>
      </c>
      <c r="I584">
        <v>0.04</v>
      </c>
      <c r="J584">
        <v>0.21</v>
      </c>
      <c r="K584">
        <v>2.62</v>
      </c>
    </row>
    <row r="585" spans="1:11" x14ac:dyDescent="0.3">
      <c r="A585">
        <v>584</v>
      </c>
      <c r="B585" t="s">
        <v>373</v>
      </c>
      <c r="C585" t="s">
        <v>39</v>
      </c>
      <c r="D585">
        <v>2009</v>
      </c>
      <c r="E585" t="s">
        <v>13</v>
      </c>
      <c r="F585" t="s">
        <v>110</v>
      </c>
      <c r="G585">
        <v>0.59</v>
      </c>
      <c r="H585">
        <v>1.79</v>
      </c>
      <c r="I585">
        <v>0.01</v>
      </c>
      <c r="J585">
        <v>0.23</v>
      </c>
      <c r="K585">
        <v>2.62</v>
      </c>
    </row>
    <row r="586" spans="1:11" x14ac:dyDescent="0.3">
      <c r="A586">
        <v>585</v>
      </c>
      <c r="B586" t="s">
        <v>582</v>
      </c>
      <c r="C586" t="s">
        <v>39</v>
      </c>
      <c r="D586">
        <v>2011</v>
      </c>
      <c r="E586" t="s">
        <v>13</v>
      </c>
      <c r="F586" t="s">
        <v>44</v>
      </c>
      <c r="G586">
        <v>2.31</v>
      </c>
      <c r="H586">
        <v>0.14000000000000001</v>
      </c>
      <c r="I586">
        <v>0.01</v>
      </c>
      <c r="J586">
        <v>0.16</v>
      </c>
      <c r="K586">
        <v>2.62</v>
      </c>
    </row>
    <row r="587" spans="1:11" x14ac:dyDescent="0.3">
      <c r="A587">
        <v>586</v>
      </c>
      <c r="B587" t="s">
        <v>583</v>
      </c>
      <c r="C587" t="s">
        <v>26</v>
      </c>
      <c r="D587">
        <v>2008</v>
      </c>
      <c r="E587" t="s">
        <v>33</v>
      </c>
      <c r="F587" t="s">
        <v>14</v>
      </c>
      <c r="G587">
        <v>0.63</v>
      </c>
      <c r="H587">
        <v>0.84</v>
      </c>
      <c r="I587">
        <v>0.96</v>
      </c>
      <c r="J587">
        <v>0.19</v>
      </c>
      <c r="K587">
        <v>2.61</v>
      </c>
    </row>
    <row r="588" spans="1:11" x14ac:dyDescent="0.3">
      <c r="A588">
        <v>587</v>
      </c>
      <c r="B588" t="s">
        <v>584</v>
      </c>
      <c r="C588" t="s">
        <v>46</v>
      </c>
      <c r="D588">
        <v>2002</v>
      </c>
      <c r="E588" t="s">
        <v>43</v>
      </c>
      <c r="F588" t="s">
        <v>110</v>
      </c>
      <c r="G588">
        <v>0.9</v>
      </c>
      <c r="H588">
        <v>1.22</v>
      </c>
      <c r="I588">
        <v>0.04</v>
      </c>
      <c r="J588">
        <v>0.44</v>
      </c>
      <c r="K588">
        <v>2.61</v>
      </c>
    </row>
    <row r="589" spans="1:11" x14ac:dyDescent="0.3">
      <c r="A589">
        <v>588</v>
      </c>
      <c r="B589" t="s">
        <v>585</v>
      </c>
      <c r="C589" t="s">
        <v>12</v>
      </c>
      <c r="D589">
        <v>2010</v>
      </c>
      <c r="E589" t="s">
        <v>2</v>
      </c>
      <c r="F589" t="s">
        <v>14</v>
      </c>
      <c r="G589">
        <v>1.02</v>
      </c>
      <c r="H589">
        <v>0.52</v>
      </c>
      <c r="I589">
        <v>0.92</v>
      </c>
      <c r="J589">
        <v>0.14000000000000001</v>
      </c>
      <c r="K589">
        <v>2.6</v>
      </c>
    </row>
    <row r="590" spans="1:11" x14ac:dyDescent="0.3">
      <c r="A590">
        <v>589</v>
      </c>
      <c r="B590" t="s">
        <v>586</v>
      </c>
      <c r="C590" t="s">
        <v>185</v>
      </c>
      <c r="D590">
        <v>1990</v>
      </c>
      <c r="E590" t="s">
        <v>43</v>
      </c>
      <c r="F590" t="s">
        <v>121</v>
      </c>
      <c r="G590">
        <v>1.86</v>
      </c>
      <c r="H590">
        <v>0.55000000000000004</v>
      </c>
      <c r="I590">
        <v>0.11</v>
      </c>
      <c r="J590">
        <v>0.08</v>
      </c>
      <c r="K590">
        <v>2.6</v>
      </c>
    </row>
    <row r="591" spans="1:11" x14ac:dyDescent="0.3">
      <c r="A591">
        <v>590</v>
      </c>
      <c r="B591" t="s">
        <v>587</v>
      </c>
      <c r="C591" t="s">
        <v>42</v>
      </c>
      <c r="D591">
        <v>2008</v>
      </c>
      <c r="E591" t="s">
        <v>13</v>
      </c>
      <c r="F591" t="s">
        <v>110</v>
      </c>
      <c r="G591">
        <v>0.48</v>
      </c>
      <c r="H591">
        <v>1.63</v>
      </c>
      <c r="I591">
        <v>0.04</v>
      </c>
      <c r="J591">
        <v>0.43</v>
      </c>
      <c r="K591">
        <v>2.59</v>
      </c>
    </row>
    <row r="592" spans="1:11" x14ac:dyDescent="0.3">
      <c r="A592">
        <v>591</v>
      </c>
      <c r="B592" t="s">
        <v>588</v>
      </c>
      <c r="C592" t="s">
        <v>42</v>
      </c>
      <c r="D592">
        <v>2007</v>
      </c>
      <c r="E592" t="s">
        <v>2</v>
      </c>
      <c r="F592" t="s">
        <v>59</v>
      </c>
      <c r="G592">
        <v>0.93</v>
      </c>
      <c r="H592">
        <v>1.1200000000000001</v>
      </c>
      <c r="I592">
        <v>0.08</v>
      </c>
      <c r="J592">
        <v>0.45</v>
      </c>
      <c r="K592">
        <v>2.59</v>
      </c>
    </row>
    <row r="593" spans="1:11" x14ac:dyDescent="0.3">
      <c r="A593">
        <v>592</v>
      </c>
      <c r="B593" t="s">
        <v>589</v>
      </c>
      <c r="C593" t="s">
        <v>46</v>
      </c>
      <c r="D593">
        <v>2004</v>
      </c>
      <c r="E593" t="s">
        <v>13</v>
      </c>
      <c r="F593" t="s">
        <v>110</v>
      </c>
      <c r="G593">
        <v>2.0299999999999998</v>
      </c>
      <c r="H593">
        <v>0.21</v>
      </c>
      <c r="I593">
        <v>0</v>
      </c>
      <c r="J593">
        <v>0.35</v>
      </c>
      <c r="K593">
        <v>2.59</v>
      </c>
    </row>
    <row r="594" spans="1:11" x14ac:dyDescent="0.3">
      <c r="A594">
        <v>593</v>
      </c>
      <c r="B594" t="s">
        <v>192</v>
      </c>
      <c r="C594" t="s">
        <v>129</v>
      </c>
      <c r="D594">
        <v>2009</v>
      </c>
      <c r="E594" t="s">
        <v>2</v>
      </c>
      <c r="F594" t="s">
        <v>59</v>
      </c>
      <c r="G594">
        <v>0.64</v>
      </c>
      <c r="H594">
        <v>1.24</v>
      </c>
      <c r="I594">
        <v>0.01</v>
      </c>
      <c r="J594">
        <v>0.69</v>
      </c>
      <c r="K594">
        <v>2.58</v>
      </c>
    </row>
    <row r="595" spans="1:11" x14ac:dyDescent="0.3">
      <c r="A595">
        <v>594</v>
      </c>
      <c r="B595" t="s">
        <v>590</v>
      </c>
      <c r="C595" t="s">
        <v>67</v>
      </c>
      <c r="D595">
        <v>2013</v>
      </c>
      <c r="E595" t="s">
        <v>31</v>
      </c>
      <c r="F595" t="s">
        <v>59</v>
      </c>
      <c r="G595">
        <v>0.89</v>
      </c>
      <c r="H595">
        <v>1.33</v>
      </c>
      <c r="I595">
        <v>7.0000000000000007E-2</v>
      </c>
      <c r="J595">
        <v>0.28000000000000003</v>
      </c>
      <c r="K595">
        <v>2.58</v>
      </c>
    </row>
    <row r="596" spans="1:11" x14ac:dyDescent="0.3">
      <c r="A596">
        <v>595</v>
      </c>
      <c r="B596" t="s">
        <v>591</v>
      </c>
      <c r="C596" t="s">
        <v>39</v>
      </c>
      <c r="D596">
        <v>2009</v>
      </c>
      <c r="E596" t="s">
        <v>43</v>
      </c>
      <c r="F596" t="s">
        <v>44</v>
      </c>
      <c r="G596">
        <v>1.04</v>
      </c>
      <c r="H596">
        <v>1.24</v>
      </c>
      <c r="I596">
        <v>0.03</v>
      </c>
      <c r="J596">
        <v>0.27</v>
      </c>
      <c r="K596">
        <v>2.58</v>
      </c>
    </row>
    <row r="597" spans="1:11" x14ac:dyDescent="0.3">
      <c r="A597">
        <v>596</v>
      </c>
      <c r="B597" t="s">
        <v>592</v>
      </c>
      <c r="C597" t="s">
        <v>129</v>
      </c>
      <c r="D597">
        <v>2007</v>
      </c>
      <c r="E597" t="s">
        <v>22</v>
      </c>
      <c r="F597" t="s">
        <v>175</v>
      </c>
      <c r="G597">
        <v>0.37</v>
      </c>
      <c r="H597">
        <v>0.27</v>
      </c>
      <c r="I597">
        <v>1.75</v>
      </c>
      <c r="J597">
        <v>0.18</v>
      </c>
      <c r="K597">
        <v>2.58</v>
      </c>
    </row>
    <row r="598" spans="1:11" x14ac:dyDescent="0.3">
      <c r="A598">
        <v>597</v>
      </c>
      <c r="B598" t="s">
        <v>593</v>
      </c>
      <c r="C598" t="s">
        <v>46</v>
      </c>
      <c r="D598">
        <v>2006</v>
      </c>
      <c r="E598" t="s">
        <v>72</v>
      </c>
      <c r="F598" t="s">
        <v>384</v>
      </c>
      <c r="G598">
        <v>1.4</v>
      </c>
      <c r="H598">
        <v>0.88</v>
      </c>
      <c r="I598">
        <v>0.03</v>
      </c>
      <c r="J598">
        <v>0.26</v>
      </c>
      <c r="K598">
        <v>2.58</v>
      </c>
    </row>
    <row r="599" spans="1:11" x14ac:dyDescent="0.3">
      <c r="A599">
        <v>598</v>
      </c>
      <c r="B599" t="s">
        <v>594</v>
      </c>
      <c r="C599" t="s">
        <v>46</v>
      </c>
      <c r="D599">
        <v>2004</v>
      </c>
      <c r="E599" t="s">
        <v>2</v>
      </c>
      <c r="F599" t="s">
        <v>59</v>
      </c>
      <c r="G599">
        <v>1.31</v>
      </c>
      <c r="H599">
        <v>0.74</v>
      </c>
      <c r="I599">
        <v>0.31</v>
      </c>
      <c r="J599">
        <v>0.22</v>
      </c>
      <c r="K599">
        <v>2.57</v>
      </c>
    </row>
    <row r="600" spans="1:11" x14ac:dyDescent="0.3">
      <c r="A600">
        <v>599</v>
      </c>
      <c r="B600" t="s">
        <v>595</v>
      </c>
      <c r="C600" t="s">
        <v>26</v>
      </c>
      <c r="D600">
        <v>2010</v>
      </c>
      <c r="E600" t="s">
        <v>28</v>
      </c>
      <c r="F600" t="s">
        <v>14</v>
      </c>
      <c r="G600">
        <v>0.28000000000000003</v>
      </c>
      <c r="H600">
        <v>1.68</v>
      </c>
      <c r="I600">
        <v>0.33</v>
      </c>
      <c r="J600">
        <v>0.28000000000000003</v>
      </c>
      <c r="K600">
        <v>2.57</v>
      </c>
    </row>
    <row r="601" spans="1:11" x14ac:dyDescent="0.3">
      <c r="A601">
        <v>600</v>
      </c>
      <c r="B601" t="s">
        <v>596</v>
      </c>
      <c r="C601" t="s">
        <v>39</v>
      </c>
      <c r="D601">
        <v>2009</v>
      </c>
      <c r="E601" t="s">
        <v>22</v>
      </c>
      <c r="F601" t="s">
        <v>110</v>
      </c>
      <c r="G601">
        <v>1.76</v>
      </c>
      <c r="H601">
        <v>0.56000000000000005</v>
      </c>
      <c r="I601">
        <v>0.03</v>
      </c>
      <c r="J601">
        <v>0.22</v>
      </c>
      <c r="K601">
        <v>2.57</v>
      </c>
    </row>
    <row r="602" spans="1:11" x14ac:dyDescent="0.3">
      <c r="A602">
        <v>601</v>
      </c>
      <c r="B602" t="s">
        <v>597</v>
      </c>
      <c r="C602" t="s">
        <v>46</v>
      </c>
      <c r="D602">
        <v>2007</v>
      </c>
      <c r="E602" t="s">
        <v>13</v>
      </c>
      <c r="F602" t="s">
        <v>110</v>
      </c>
      <c r="G602">
        <v>2.14</v>
      </c>
      <c r="H602">
        <v>0.08</v>
      </c>
      <c r="I602">
        <v>0</v>
      </c>
      <c r="J602">
        <v>0.35</v>
      </c>
      <c r="K602">
        <v>2.57</v>
      </c>
    </row>
    <row r="603" spans="1:11" x14ac:dyDescent="0.3">
      <c r="A603">
        <v>602</v>
      </c>
      <c r="B603" t="s">
        <v>598</v>
      </c>
      <c r="C603" t="s">
        <v>146</v>
      </c>
      <c r="D603">
        <v>2001</v>
      </c>
      <c r="E603" t="s">
        <v>2</v>
      </c>
      <c r="F603" t="s">
        <v>121</v>
      </c>
      <c r="G603">
        <v>1.7</v>
      </c>
      <c r="H603">
        <v>0.59</v>
      </c>
      <c r="I603">
        <v>0.21</v>
      </c>
      <c r="J603">
        <v>7.0000000000000007E-2</v>
      </c>
      <c r="K603">
        <v>2.56</v>
      </c>
    </row>
    <row r="604" spans="1:11" x14ac:dyDescent="0.3">
      <c r="A604">
        <v>603</v>
      </c>
      <c r="B604" t="s">
        <v>599</v>
      </c>
      <c r="C604" t="s">
        <v>16</v>
      </c>
      <c r="D604">
        <v>1987</v>
      </c>
      <c r="E604" t="s">
        <v>22</v>
      </c>
      <c r="F604" t="s">
        <v>275</v>
      </c>
      <c r="G604">
        <v>0.15</v>
      </c>
      <c r="H604">
        <v>0</v>
      </c>
      <c r="I604">
        <v>2.41</v>
      </c>
      <c r="J604">
        <v>0</v>
      </c>
      <c r="K604">
        <v>2.56</v>
      </c>
    </row>
    <row r="605" spans="1:11" x14ac:dyDescent="0.3">
      <c r="A605">
        <v>604</v>
      </c>
      <c r="B605" t="s">
        <v>514</v>
      </c>
      <c r="C605" t="s">
        <v>42</v>
      </c>
      <c r="D605">
        <v>2012</v>
      </c>
      <c r="E605" t="s">
        <v>13</v>
      </c>
      <c r="F605" t="s">
        <v>110</v>
      </c>
      <c r="G605">
        <v>2.11</v>
      </c>
      <c r="H605">
        <v>0.23</v>
      </c>
      <c r="I605">
        <v>0</v>
      </c>
      <c r="J605">
        <v>0.22</v>
      </c>
      <c r="K605">
        <v>2.56</v>
      </c>
    </row>
    <row r="606" spans="1:11" x14ac:dyDescent="0.3">
      <c r="A606">
        <v>605</v>
      </c>
      <c r="B606" t="s">
        <v>600</v>
      </c>
      <c r="C606" t="s">
        <v>146</v>
      </c>
      <c r="D606">
        <v>2003</v>
      </c>
      <c r="E606" t="s">
        <v>22</v>
      </c>
      <c r="F606" t="s">
        <v>14</v>
      </c>
      <c r="G606">
        <v>1.21</v>
      </c>
      <c r="H606">
        <v>0.56999999999999995</v>
      </c>
      <c r="I606">
        <v>0.7</v>
      </c>
      <c r="J606">
        <v>7.0000000000000007E-2</v>
      </c>
      <c r="K606">
        <v>2.54</v>
      </c>
    </row>
    <row r="607" spans="1:11" x14ac:dyDescent="0.3">
      <c r="A607">
        <v>606</v>
      </c>
      <c r="B607" t="s">
        <v>601</v>
      </c>
      <c r="C607" t="s">
        <v>12</v>
      </c>
      <c r="D607">
        <v>2008</v>
      </c>
      <c r="E607" t="s">
        <v>13</v>
      </c>
      <c r="F607" t="s">
        <v>183</v>
      </c>
      <c r="G607">
        <v>1.1299999999999999</v>
      </c>
      <c r="H607">
        <v>0.87</v>
      </c>
      <c r="I607">
        <v>0.28999999999999998</v>
      </c>
      <c r="J607">
        <v>0.25</v>
      </c>
      <c r="K607">
        <v>2.54</v>
      </c>
    </row>
    <row r="608" spans="1:11" x14ac:dyDescent="0.3">
      <c r="A608">
        <v>607</v>
      </c>
      <c r="B608" t="s">
        <v>602</v>
      </c>
      <c r="C608" t="s">
        <v>39</v>
      </c>
      <c r="D608">
        <v>2008</v>
      </c>
      <c r="E608" t="s">
        <v>13</v>
      </c>
      <c r="F608" t="s">
        <v>110</v>
      </c>
      <c r="G608">
        <v>2.21</v>
      </c>
      <c r="H608">
        <v>0.12</v>
      </c>
      <c r="I608">
        <v>0</v>
      </c>
      <c r="J608">
        <v>0.2</v>
      </c>
      <c r="K608">
        <v>2.54</v>
      </c>
    </row>
    <row r="609" spans="1:11" x14ac:dyDescent="0.3">
      <c r="A609">
        <v>608</v>
      </c>
      <c r="B609" t="s">
        <v>603</v>
      </c>
      <c r="C609">
        <v>2600</v>
      </c>
      <c r="D609" t="s">
        <v>224</v>
      </c>
      <c r="E609" t="s">
        <v>31</v>
      </c>
      <c r="F609" t="s">
        <v>127</v>
      </c>
      <c r="G609">
        <v>2.36</v>
      </c>
      <c r="H609">
        <v>0.14000000000000001</v>
      </c>
      <c r="I609">
        <v>0</v>
      </c>
      <c r="J609">
        <v>0.03</v>
      </c>
      <c r="K609">
        <v>2.5299999999999998</v>
      </c>
    </row>
    <row r="610" spans="1:11" x14ac:dyDescent="0.3">
      <c r="A610">
        <v>609</v>
      </c>
      <c r="B610" t="s">
        <v>604</v>
      </c>
      <c r="C610" t="s">
        <v>46</v>
      </c>
      <c r="D610">
        <v>2001</v>
      </c>
      <c r="E610" t="s">
        <v>18</v>
      </c>
      <c r="F610" t="s">
        <v>416</v>
      </c>
      <c r="G610">
        <v>1.1299999999999999</v>
      </c>
      <c r="H610">
        <v>1.1200000000000001</v>
      </c>
      <c r="I610">
        <v>0.06</v>
      </c>
      <c r="J610">
        <v>0.22</v>
      </c>
      <c r="K610">
        <v>2.52</v>
      </c>
    </row>
    <row r="611" spans="1:11" x14ac:dyDescent="0.3">
      <c r="A611">
        <v>610</v>
      </c>
      <c r="B611" t="s">
        <v>605</v>
      </c>
      <c r="C611" t="s">
        <v>78</v>
      </c>
      <c r="D611">
        <v>2000</v>
      </c>
      <c r="E611" t="s">
        <v>43</v>
      </c>
      <c r="F611" t="s">
        <v>14</v>
      </c>
      <c r="G611">
        <v>1.55</v>
      </c>
      <c r="H611">
        <v>0.75</v>
      </c>
      <c r="I611">
        <v>0.16</v>
      </c>
      <c r="J611">
        <v>0.06</v>
      </c>
      <c r="K611">
        <v>2.52</v>
      </c>
    </row>
    <row r="612" spans="1:11" x14ac:dyDescent="0.3">
      <c r="A612">
        <v>611</v>
      </c>
      <c r="B612" t="s">
        <v>606</v>
      </c>
      <c r="C612" t="s">
        <v>12</v>
      </c>
      <c r="D612">
        <v>2007</v>
      </c>
      <c r="E612" t="s">
        <v>28</v>
      </c>
      <c r="F612" t="s">
        <v>607</v>
      </c>
      <c r="G612">
        <v>1.5</v>
      </c>
      <c r="H612">
        <v>0.78</v>
      </c>
      <c r="I612">
        <v>0</v>
      </c>
      <c r="J612">
        <v>0.24</v>
      </c>
      <c r="K612">
        <v>2.52</v>
      </c>
    </row>
    <row r="613" spans="1:11" x14ac:dyDescent="0.3">
      <c r="A613">
        <v>612</v>
      </c>
      <c r="B613" t="s">
        <v>608</v>
      </c>
      <c r="C613" t="s">
        <v>16</v>
      </c>
      <c r="D613">
        <v>1986</v>
      </c>
      <c r="E613" t="s">
        <v>22</v>
      </c>
      <c r="F613" t="s">
        <v>175</v>
      </c>
      <c r="G613">
        <v>0.49</v>
      </c>
      <c r="H613">
        <v>0</v>
      </c>
      <c r="I613">
        <v>0.52</v>
      </c>
      <c r="J613">
        <v>1.51</v>
      </c>
      <c r="K613">
        <v>2.52</v>
      </c>
    </row>
    <row r="614" spans="1:11" x14ac:dyDescent="0.3">
      <c r="A614">
        <v>613</v>
      </c>
      <c r="B614" t="s">
        <v>609</v>
      </c>
      <c r="C614" t="s">
        <v>42</v>
      </c>
      <c r="D614">
        <v>2013</v>
      </c>
      <c r="E614" t="s">
        <v>43</v>
      </c>
      <c r="F614" t="s">
        <v>191</v>
      </c>
      <c r="G614">
        <v>0.6</v>
      </c>
      <c r="H614">
        <v>1.31</v>
      </c>
      <c r="I614">
        <v>0.08</v>
      </c>
      <c r="J614">
        <v>0.52</v>
      </c>
      <c r="K614">
        <v>2.5099999999999998</v>
      </c>
    </row>
    <row r="615" spans="1:11" x14ac:dyDescent="0.3">
      <c r="A615">
        <v>614</v>
      </c>
      <c r="B615" t="s">
        <v>610</v>
      </c>
      <c r="C615" t="s">
        <v>39</v>
      </c>
      <c r="D615">
        <v>2006</v>
      </c>
      <c r="E615" t="s">
        <v>22</v>
      </c>
      <c r="F615" t="s">
        <v>61</v>
      </c>
      <c r="G615">
        <v>2.29</v>
      </c>
      <c r="H615">
        <v>0.02</v>
      </c>
      <c r="I615">
        <v>0</v>
      </c>
      <c r="J615">
        <v>0.19</v>
      </c>
      <c r="K615">
        <v>2.5</v>
      </c>
    </row>
    <row r="616" spans="1:11" x14ac:dyDescent="0.3">
      <c r="A616">
        <v>615</v>
      </c>
      <c r="B616" t="s">
        <v>611</v>
      </c>
      <c r="C616" t="s">
        <v>46</v>
      </c>
      <c r="D616">
        <v>2008</v>
      </c>
      <c r="E616" t="s">
        <v>13</v>
      </c>
      <c r="F616" t="s">
        <v>183</v>
      </c>
      <c r="G616">
        <v>0.13</v>
      </c>
      <c r="H616">
        <v>7.0000000000000007E-2</v>
      </c>
      <c r="I616">
        <v>0.26</v>
      </c>
      <c r="J616">
        <v>2.0499999999999998</v>
      </c>
      <c r="K616">
        <v>2.5</v>
      </c>
    </row>
    <row r="617" spans="1:11" x14ac:dyDescent="0.3">
      <c r="A617">
        <v>616</v>
      </c>
      <c r="B617" t="s">
        <v>612</v>
      </c>
      <c r="C617" t="s">
        <v>78</v>
      </c>
      <c r="D617">
        <v>1999</v>
      </c>
      <c r="E617" t="s">
        <v>28</v>
      </c>
      <c r="F617" t="s">
        <v>14</v>
      </c>
      <c r="G617">
        <v>1.28</v>
      </c>
      <c r="H617">
        <v>0.14000000000000001</v>
      </c>
      <c r="I617">
        <v>1.08</v>
      </c>
      <c r="J617">
        <v>0.01</v>
      </c>
      <c r="K617">
        <v>2.5</v>
      </c>
    </row>
    <row r="618" spans="1:11" x14ac:dyDescent="0.3">
      <c r="A618">
        <v>617</v>
      </c>
      <c r="B618" t="s">
        <v>549</v>
      </c>
      <c r="C618" t="s">
        <v>42</v>
      </c>
      <c r="D618">
        <v>2011</v>
      </c>
      <c r="E618" t="s">
        <v>43</v>
      </c>
      <c r="F618" t="s">
        <v>384</v>
      </c>
      <c r="G618">
        <v>0.86</v>
      </c>
      <c r="H618">
        <v>1.06</v>
      </c>
      <c r="I618">
        <v>0.18</v>
      </c>
      <c r="J618">
        <v>0.39</v>
      </c>
      <c r="K618">
        <v>2.4900000000000002</v>
      </c>
    </row>
    <row r="619" spans="1:11" x14ac:dyDescent="0.3">
      <c r="A619">
        <v>618</v>
      </c>
      <c r="B619" t="s">
        <v>613</v>
      </c>
      <c r="C619" t="s">
        <v>113</v>
      </c>
      <c r="D619">
        <v>2003</v>
      </c>
      <c r="E619" t="s">
        <v>43</v>
      </c>
      <c r="F619" t="s">
        <v>44</v>
      </c>
      <c r="G619">
        <v>1.84</v>
      </c>
      <c r="H619">
        <v>0.56000000000000005</v>
      </c>
      <c r="I619">
        <v>0</v>
      </c>
      <c r="J619">
        <v>0.09</v>
      </c>
      <c r="K619">
        <v>2.4900000000000002</v>
      </c>
    </row>
    <row r="620" spans="1:11" x14ac:dyDescent="0.3">
      <c r="A620">
        <v>619</v>
      </c>
      <c r="B620" t="s">
        <v>614</v>
      </c>
      <c r="C620" t="s">
        <v>12</v>
      </c>
      <c r="D620">
        <v>2010</v>
      </c>
      <c r="E620" t="s">
        <v>43</v>
      </c>
      <c r="F620" t="s">
        <v>205</v>
      </c>
      <c r="G620">
        <v>1.29</v>
      </c>
      <c r="H620">
        <v>0.97</v>
      </c>
      <c r="I620">
        <v>0</v>
      </c>
      <c r="J620">
        <v>0.23</v>
      </c>
      <c r="K620">
        <v>2.4900000000000002</v>
      </c>
    </row>
    <row r="621" spans="1:11" x14ac:dyDescent="0.3">
      <c r="A621">
        <v>620</v>
      </c>
      <c r="B621" t="s">
        <v>615</v>
      </c>
      <c r="C621" t="s">
        <v>46</v>
      </c>
      <c r="D621">
        <v>2002</v>
      </c>
      <c r="E621" t="s">
        <v>72</v>
      </c>
      <c r="F621" t="s">
        <v>607</v>
      </c>
      <c r="G621">
        <v>1.81</v>
      </c>
      <c r="H621">
        <v>0.52</v>
      </c>
      <c r="I621">
        <v>0</v>
      </c>
      <c r="J621">
        <v>0.15</v>
      </c>
      <c r="K621">
        <v>2.4900000000000002</v>
      </c>
    </row>
    <row r="622" spans="1:11" x14ac:dyDescent="0.3">
      <c r="A622">
        <v>621</v>
      </c>
      <c r="B622" t="s">
        <v>616</v>
      </c>
      <c r="C622" t="s">
        <v>42</v>
      </c>
      <c r="D622">
        <v>2008</v>
      </c>
      <c r="E622" t="s">
        <v>31</v>
      </c>
      <c r="F622" t="s">
        <v>59</v>
      </c>
      <c r="G622">
        <v>1.1499999999999999</v>
      </c>
      <c r="H622">
        <v>0.85</v>
      </c>
      <c r="I622">
        <v>0.1</v>
      </c>
      <c r="J622">
        <v>0.39</v>
      </c>
      <c r="K622">
        <v>2.48</v>
      </c>
    </row>
    <row r="623" spans="1:11" x14ac:dyDescent="0.3">
      <c r="A623">
        <v>622</v>
      </c>
      <c r="B623" t="s">
        <v>617</v>
      </c>
      <c r="C623" t="s">
        <v>39</v>
      </c>
      <c r="D623">
        <v>2008</v>
      </c>
      <c r="E623" t="s">
        <v>18</v>
      </c>
      <c r="F623" t="s">
        <v>450</v>
      </c>
      <c r="G623">
        <v>1.38</v>
      </c>
      <c r="H623">
        <v>0.85</v>
      </c>
      <c r="I623">
        <v>0</v>
      </c>
      <c r="J623">
        <v>0.25</v>
      </c>
      <c r="K623">
        <v>2.48</v>
      </c>
    </row>
    <row r="624" spans="1:11" x14ac:dyDescent="0.3">
      <c r="A624">
        <v>623</v>
      </c>
      <c r="B624" t="s">
        <v>618</v>
      </c>
      <c r="C624" t="s">
        <v>86</v>
      </c>
      <c r="D624">
        <v>1998</v>
      </c>
      <c r="E624" t="s">
        <v>43</v>
      </c>
      <c r="F624" t="s">
        <v>222</v>
      </c>
      <c r="G624">
        <v>1.1499999999999999</v>
      </c>
      <c r="H624">
        <v>1.1399999999999999</v>
      </c>
      <c r="I624">
        <v>0.06</v>
      </c>
      <c r="J624">
        <v>0.13</v>
      </c>
      <c r="K624">
        <v>2.48</v>
      </c>
    </row>
    <row r="625" spans="1:11" x14ac:dyDescent="0.3">
      <c r="A625">
        <v>624</v>
      </c>
      <c r="B625" t="s">
        <v>480</v>
      </c>
      <c r="C625" t="s">
        <v>42</v>
      </c>
      <c r="D625">
        <v>2012</v>
      </c>
      <c r="E625" t="s">
        <v>13</v>
      </c>
      <c r="F625" t="s">
        <v>44</v>
      </c>
      <c r="G625">
        <v>1.72</v>
      </c>
      <c r="H625">
        <v>0.44</v>
      </c>
      <c r="I625">
        <v>0.05</v>
      </c>
      <c r="J625">
        <v>0.27</v>
      </c>
      <c r="K625">
        <v>2.48</v>
      </c>
    </row>
    <row r="626" spans="1:11" x14ac:dyDescent="0.3">
      <c r="A626">
        <v>625</v>
      </c>
      <c r="B626" t="s">
        <v>619</v>
      </c>
      <c r="C626" t="s">
        <v>39</v>
      </c>
      <c r="D626" t="s">
        <v>224</v>
      </c>
      <c r="E626" t="s">
        <v>28</v>
      </c>
      <c r="F626" t="s">
        <v>110</v>
      </c>
      <c r="G626">
        <v>1.93</v>
      </c>
      <c r="H626">
        <v>0.34</v>
      </c>
      <c r="I626">
        <v>0</v>
      </c>
      <c r="J626">
        <v>0.21</v>
      </c>
      <c r="K626">
        <v>2.48</v>
      </c>
    </row>
    <row r="627" spans="1:11" x14ac:dyDescent="0.3">
      <c r="A627">
        <v>626</v>
      </c>
      <c r="B627" t="s">
        <v>620</v>
      </c>
      <c r="C627" t="s">
        <v>39</v>
      </c>
      <c r="D627">
        <v>2013</v>
      </c>
      <c r="E627" t="s">
        <v>13</v>
      </c>
      <c r="F627" t="s">
        <v>44</v>
      </c>
      <c r="G627">
        <v>2.1</v>
      </c>
      <c r="H627">
        <v>0.2</v>
      </c>
      <c r="I627">
        <v>0</v>
      </c>
      <c r="J627">
        <v>0.17</v>
      </c>
      <c r="K627">
        <v>2.4700000000000002</v>
      </c>
    </row>
    <row r="628" spans="1:11" x14ac:dyDescent="0.3">
      <c r="A628">
        <v>627</v>
      </c>
      <c r="B628" t="s">
        <v>621</v>
      </c>
      <c r="C628" t="s">
        <v>146</v>
      </c>
      <c r="D628">
        <v>2002</v>
      </c>
      <c r="E628" t="s">
        <v>28</v>
      </c>
      <c r="F628" t="s">
        <v>14</v>
      </c>
      <c r="G628">
        <v>1.1299999999999999</v>
      </c>
      <c r="H628">
        <v>0.36</v>
      </c>
      <c r="I628">
        <v>0.92</v>
      </c>
      <c r="J628">
        <v>7.0000000000000007E-2</v>
      </c>
      <c r="K628">
        <v>2.4700000000000002</v>
      </c>
    </row>
    <row r="629" spans="1:11" x14ac:dyDescent="0.3">
      <c r="A629">
        <v>628</v>
      </c>
      <c r="B629" t="s">
        <v>622</v>
      </c>
      <c r="C629" t="s">
        <v>12</v>
      </c>
      <c r="D629">
        <v>2010</v>
      </c>
      <c r="E629" t="s">
        <v>28</v>
      </c>
      <c r="F629" t="s">
        <v>384</v>
      </c>
      <c r="G629">
        <v>1.67</v>
      </c>
      <c r="H629">
        <v>0.57999999999999996</v>
      </c>
      <c r="I629">
        <v>0</v>
      </c>
      <c r="J629">
        <v>0.2</v>
      </c>
      <c r="K629">
        <v>2.46</v>
      </c>
    </row>
    <row r="630" spans="1:11" x14ac:dyDescent="0.3">
      <c r="A630">
        <v>629</v>
      </c>
      <c r="B630" t="s">
        <v>623</v>
      </c>
      <c r="C630" t="s">
        <v>42</v>
      </c>
      <c r="D630">
        <v>2008</v>
      </c>
      <c r="E630" t="s">
        <v>18</v>
      </c>
      <c r="F630" t="s">
        <v>44</v>
      </c>
      <c r="G630">
        <v>1.55</v>
      </c>
      <c r="H630">
        <v>0.54</v>
      </c>
      <c r="I630">
        <v>0.05</v>
      </c>
      <c r="J630">
        <v>0.31</v>
      </c>
      <c r="K630">
        <v>2.4500000000000002</v>
      </c>
    </row>
    <row r="631" spans="1:11" x14ac:dyDescent="0.3">
      <c r="A631">
        <v>630</v>
      </c>
      <c r="B631" t="s">
        <v>624</v>
      </c>
      <c r="C631" t="s">
        <v>48</v>
      </c>
      <c r="D631">
        <v>1992</v>
      </c>
      <c r="E631" t="s">
        <v>22</v>
      </c>
      <c r="F631" t="s">
        <v>124</v>
      </c>
      <c r="G631">
        <v>0</v>
      </c>
      <c r="H631">
        <v>0</v>
      </c>
      <c r="I631">
        <v>2.4300000000000002</v>
      </c>
      <c r="J631">
        <v>0.02</v>
      </c>
      <c r="K631">
        <v>2.4500000000000002</v>
      </c>
    </row>
    <row r="632" spans="1:11" x14ac:dyDescent="0.3">
      <c r="A632">
        <v>631</v>
      </c>
      <c r="B632" t="s">
        <v>625</v>
      </c>
      <c r="C632" t="s">
        <v>86</v>
      </c>
      <c r="D632">
        <v>1997</v>
      </c>
      <c r="E632" t="s">
        <v>22</v>
      </c>
      <c r="F632" t="s">
        <v>124</v>
      </c>
      <c r="G632">
        <v>0.93</v>
      </c>
      <c r="H632">
        <v>0.12</v>
      </c>
      <c r="I632">
        <v>1.34</v>
      </c>
      <c r="J632">
        <v>0.06</v>
      </c>
      <c r="K632">
        <v>2.4500000000000002</v>
      </c>
    </row>
    <row r="633" spans="1:11" x14ac:dyDescent="0.3">
      <c r="A633">
        <v>632</v>
      </c>
      <c r="B633" t="s">
        <v>626</v>
      </c>
      <c r="C633" t="s">
        <v>86</v>
      </c>
      <c r="D633">
        <v>1996</v>
      </c>
      <c r="E633" t="s">
        <v>18</v>
      </c>
      <c r="F633" t="s">
        <v>59</v>
      </c>
      <c r="G633">
        <v>2.12</v>
      </c>
      <c r="H633">
        <v>0.25</v>
      </c>
      <c r="I633">
        <v>0</v>
      </c>
      <c r="J633">
        <v>7.0000000000000007E-2</v>
      </c>
      <c r="K633">
        <v>2.44</v>
      </c>
    </row>
    <row r="634" spans="1:11" x14ac:dyDescent="0.3">
      <c r="A634">
        <v>633</v>
      </c>
      <c r="B634" t="s">
        <v>627</v>
      </c>
      <c r="C634" t="s">
        <v>39</v>
      </c>
      <c r="D634">
        <v>2011</v>
      </c>
      <c r="E634" t="s">
        <v>31</v>
      </c>
      <c r="F634" t="s">
        <v>40</v>
      </c>
      <c r="G634">
        <v>1.44</v>
      </c>
      <c r="H634">
        <v>0.73</v>
      </c>
      <c r="I634">
        <v>0.04</v>
      </c>
      <c r="J634">
        <v>0.22</v>
      </c>
      <c r="K634">
        <v>2.44</v>
      </c>
    </row>
    <row r="635" spans="1:11" x14ac:dyDescent="0.3">
      <c r="A635">
        <v>634</v>
      </c>
      <c r="B635" t="s">
        <v>628</v>
      </c>
      <c r="C635" t="s">
        <v>129</v>
      </c>
      <c r="D635">
        <v>2006</v>
      </c>
      <c r="E635" t="s">
        <v>18</v>
      </c>
      <c r="F635" t="s">
        <v>110</v>
      </c>
      <c r="G635">
        <v>0.87</v>
      </c>
      <c r="H635">
        <v>0.98</v>
      </c>
      <c r="I635">
        <v>0</v>
      </c>
      <c r="J635">
        <v>0.59</v>
      </c>
      <c r="K635">
        <v>2.44</v>
      </c>
    </row>
    <row r="636" spans="1:11" x14ac:dyDescent="0.3">
      <c r="A636">
        <v>635</v>
      </c>
      <c r="B636" t="s">
        <v>629</v>
      </c>
      <c r="C636" t="s">
        <v>46</v>
      </c>
      <c r="D636">
        <v>2003</v>
      </c>
      <c r="E636" t="s">
        <v>33</v>
      </c>
      <c r="F636" t="s">
        <v>110</v>
      </c>
      <c r="G636">
        <v>1.07</v>
      </c>
      <c r="H636">
        <v>1.19</v>
      </c>
      <c r="I636">
        <v>0</v>
      </c>
      <c r="J636">
        <v>0.18</v>
      </c>
      <c r="K636">
        <v>2.4300000000000002</v>
      </c>
    </row>
    <row r="637" spans="1:11" x14ac:dyDescent="0.3">
      <c r="A637">
        <v>636</v>
      </c>
      <c r="B637" t="s">
        <v>630</v>
      </c>
      <c r="C637" t="s">
        <v>118</v>
      </c>
      <c r="D637">
        <v>1997</v>
      </c>
      <c r="E637" t="s">
        <v>83</v>
      </c>
      <c r="F637" t="s">
        <v>528</v>
      </c>
      <c r="G637">
        <v>1.52</v>
      </c>
      <c r="H637">
        <v>0.82</v>
      </c>
      <c r="I637">
        <v>0</v>
      </c>
      <c r="J637">
        <v>0.1</v>
      </c>
      <c r="K637">
        <v>2.4300000000000002</v>
      </c>
    </row>
    <row r="638" spans="1:11" x14ac:dyDescent="0.3">
      <c r="A638">
        <v>637</v>
      </c>
      <c r="B638" t="s">
        <v>631</v>
      </c>
      <c r="C638" t="s">
        <v>39</v>
      </c>
      <c r="D638">
        <v>2008</v>
      </c>
      <c r="E638" t="s">
        <v>31</v>
      </c>
      <c r="F638" t="s">
        <v>92</v>
      </c>
      <c r="G638">
        <v>1.56</v>
      </c>
      <c r="H638">
        <v>0.61</v>
      </c>
      <c r="I638">
        <v>0.02</v>
      </c>
      <c r="J638">
        <v>0.23</v>
      </c>
      <c r="K638">
        <v>2.42</v>
      </c>
    </row>
    <row r="639" spans="1:11" x14ac:dyDescent="0.3">
      <c r="A639">
        <v>638</v>
      </c>
      <c r="B639" t="s">
        <v>632</v>
      </c>
      <c r="C639" t="s">
        <v>633</v>
      </c>
      <c r="D639">
        <v>1998</v>
      </c>
      <c r="E639" t="s">
        <v>2</v>
      </c>
      <c r="F639" t="s">
        <v>121</v>
      </c>
      <c r="G639">
        <v>1.26</v>
      </c>
      <c r="H639">
        <v>0.61</v>
      </c>
      <c r="I639">
        <v>0.46</v>
      </c>
      <c r="J639">
        <v>0.08</v>
      </c>
      <c r="K639">
        <v>2.42</v>
      </c>
    </row>
    <row r="640" spans="1:11" x14ac:dyDescent="0.3">
      <c r="A640">
        <v>639</v>
      </c>
      <c r="B640" t="s">
        <v>634</v>
      </c>
      <c r="C640" t="s">
        <v>16</v>
      </c>
      <c r="D640">
        <v>1988</v>
      </c>
      <c r="E640" t="s">
        <v>13</v>
      </c>
      <c r="F640" t="s">
        <v>14</v>
      </c>
      <c r="G640">
        <v>1.27</v>
      </c>
      <c r="H640">
        <v>0.32</v>
      </c>
      <c r="I640">
        <v>0.78</v>
      </c>
      <c r="J640">
        <v>0.05</v>
      </c>
      <c r="K640">
        <v>2.42</v>
      </c>
    </row>
    <row r="641" spans="1:11" x14ac:dyDescent="0.3">
      <c r="A641">
        <v>640</v>
      </c>
      <c r="B641" t="s">
        <v>635</v>
      </c>
      <c r="C641" t="s">
        <v>42</v>
      </c>
      <c r="D641">
        <v>2010</v>
      </c>
      <c r="E641" t="s">
        <v>13</v>
      </c>
      <c r="F641" t="s">
        <v>183</v>
      </c>
      <c r="G641">
        <v>0.28999999999999998</v>
      </c>
      <c r="H641">
        <v>1.18</v>
      </c>
      <c r="I641">
        <v>0.54</v>
      </c>
      <c r="J641">
        <v>0.41</v>
      </c>
      <c r="K641">
        <v>2.42</v>
      </c>
    </row>
    <row r="642" spans="1:11" x14ac:dyDescent="0.3">
      <c r="A642">
        <v>641</v>
      </c>
      <c r="B642" t="s">
        <v>636</v>
      </c>
      <c r="C642" t="s">
        <v>46</v>
      </c>
      <c r="D642">
        <v>2003</v>
      </c>
      <c r="E642" t="s">
        <v>72</v>
      </c>
      <c r="F642" t="s">
        <v>127</v>
      </c>
      <c r="G642">
        <v>1.63</v>
      </c>
      <c r="H642">
        <v>0.22</v>
      </c>
      <c r="I642">
        <v>0.51</v>
      </c>
      <c r="J642">
        <v>0.06</v>
      </c>
      <c r="K642">
        <v>2.41</v>
      </c>
    </row>
    <row r="643" spans="1:11" x14ac:dyDescent="0.3">
      <c r="A643">
        <v>642</v>
      </c>
      <c r="B643" t="s">
        <v>637</v>
      </c>
      <c r="C643" t="s">
        <v>46</v>
      </c>
      <c r="D643">
        <v>2001</v>
      </c>
      <c r="E643" t="s">
        <v>18</v>
      </c>
      <c r="F643" t="s">
        <v>59</v>
      </c>
      <c r="G643">
        <v>2.0699999999999998</v>
      </c>
      <c r="H643">
        <v>0.26</v>
      </c>
      <c r="I643">
        <v>0</v>
      </c>
      <c r="J643">
        <v>0.08</v>
      </c>
      <c r="K643">
        <v>2.41</v>
      </c>
    </row>
    <row r="644" spans="1:11" x14ac:dyDescent="0.3">
      <c r="A644">
        <v>643</v>
      </c>
      <c r="B644" t="s">
        <v>638</v>
      </c>
      <c r="C644" t="s">
        <v>86</v>
      </c>
      <c r="D644">
        <v>1998</v>
      </c>
      <c r="E644" t="s">
        <v>43</v>
      </c>
      <c r="F644" t="s">
        <v>175</v>
      </c>
      <c r="G644">
        <v>0.81</v>
      </c>
      <c r="H644">
        <v>0.76</v>
      </c>
      <c r="I644">
        <v>0.7</v>
      </c>
      <c r="J644">
        <v>0.14000000000000001</v>
      </c>
      <c r="K644">
        <v>2.41</v>
      </c>
    </row>
    <row r="645" spans="1:11" x14ac:dyDescent="0.3">
      <c r="A645">
        <v>644</v>
      </c>
      <c r="B645" t="s">
        <v>103</v>
      </c>
      <c r="C645" t="s">
        <v>140</v>
      </c>
      <c r="D645">
        <v>2014</v>
      </c>
      <c r="E645" t="s">
        <v>28</v>
      </c>
      <c r="F645" t="s">
        <v>40</v>
      </c>
      <c r="G645">
        <v>1.43</v>
      </c>
      <c r="H645">
        <v>0.76</v>
      </c>
      <c r="I645">
        <v>0</v>
      </c>
      <c r="J645">
        <v>0.22</v>
      </c>
      <c r="K645">
        <v>2.41</v>
      </c>
    </row>
    <row r="646" spans="1:11" x14ac:dyDescent="0.3">
      <c r="A646">
        <v>645</v>
      </c>
      <c r="B646" t="s">
        <v>639</v>
      </c>
      <c r="C646" t="s">
        <v>46</v>
      </c>
      <c r="D646">
        <v>2007</v>
      </c>
      <c r="E646" t="s">
        <v>18</v>
      </c>
      <c r="F646" t="s">
        <v>110</v>
      </c>
      <c r="G646">
        <v>0.69</v>
      </c>
      <c r="H646">
        <v>0</v>
      </c>
      <c r="I646">
        <v>0.04</v>
      </c>
      <c r="J646">
        <v>1.68</v>
      </c>
      <c r="K646">
        <v>2.41</v>
      </c>
    </row>
    <row r="647" spans="1:11" x14ac:dyDescent="0.3">
      <c r="A647">
        <v>646</v>
      </c>
      <c r="B647" t="s">
        <v>434</v>
      </c>
      <c r="C647" t="s">
        <v>140</v>
      </c>
      <c r="D647">
        <v>2015</v>
      </c>
      <c r="E647" t="s">
        <v>13</v>
      </c>
      <c r="F647" t="s">
        <v>110</v>
      </c>
      <c r="G647">
        <v>2.0699999999999998</v>
      </c>
      <c r="H647">
        <v>0.08</v>
      </c>
      <c r="I647">
        <v>0</v>
      </c>
      <c r="J647">
        <v>0.26</v>
      </c>
      <c r="K647">
        <v>2.4</v>
      </c>
    </row>
    <row r="648" spans="1:11" x14ac:dyDescent="0.3">
      <c r="A648">
        <v>647</v>
      </c>
      <c r="B648" t="s">
        <v>640</v>
      </c>
      <c r="C648" t="s">
        <v>86</v>
      </c>
      <c r="D648">
        <v>1996</v>
      </c>
      <c r="E648" t="s">
        <v>24</v>
      </c>
      <c r="F648" t="s">
        <v>641</v>
      </c>
      <c r="G648">
        <v>2.1</v>
      </c>
      <c r="H648">
        <v>0.24</v>
      </c>
      <c r="I648">
        <v>0</v>
      </c>
      <c r="J648">
        <v>7.0000000000000007E-2</v>
      </c>
      <c r="K648">
        <v>2.4</v>
      </c>
    </row>
    <row r="649" spans="1:11" x14ac:dyDescent="0.3">
      <c r="A649">
        <v>648</v>
      </c>
      <c r="B649" t="s">
        <v>642</v>
      </c>
      <c r="C649" t="s">
        <v>16</v>
      </c>
      <c r="D649">
        <v>1987</v>
      </c>
      <c r="E649" t="s">
        <v>72</v>
      </c>
      <c r="F649" t="s">
        <v>14</v>
      </c>
      <c r="G649">
        <v>0.77</v>
      </c>
      <c r="H649">
        <v>0.18</v>
      </c>
      <c r="I649">
        <v>1.42</v>
      </c>
      <c r="J649">
        <v>0.03</v>
      </c>
      <c r="K649">
        <v>2.4</v>
      </c>
    </row>
    <row r="650" spans="1:11" x14ac:dyDescent="0.3">
      <c r="A650">
        <v>649</v>
      </c>
      <c r="B650" t="s">
        <v>643</v>
      </c>
      <c r="C650" t="s">
        <v>118</v>
      </c>
      <c r="D650">
        <v>1997</v>
      </c>
      <c r="E650" t="s">
        <v>211</v>
      </c>
      <c r="F650" t="s">
        <v>110</v>
      </c>
      <c r="G650">
        <v>2.2999999999999998</v>
      </c>
      <c r="H650">
        <v>0.1</v>
      </c>
      <c r="I650">
        <v>0</v>
      </c>
      <c r="J650">
        <v>0</v>
      </c>
      <c r="K650">
        <v>2.4</v>
      </c>
    </row>
    <row r="651" spans="1:11" x14ac:dyDescent="0.3">
      <c r="A651">
        <v>650</v>
      </c>
      <c r="B651" t="s">
        <v>644</v>
      </c>
      <c r="C651" t="s">
        <v>55</v>
      </c>
      <c r="D651" t="s">
        <v>224</v>
      </c>
      <c r="E651" t="s">
        <v>83</v>
      </c>
      <c r="F651" t="s">
        <v>183</v>
      </c>
      <c r="G651">
        <v>2.15</v>
      </c>
      <c r="H651">
        <v>0.18</v>
      </c>
      <c r="I651">
        <v>0</v>
      </c>
      <c r="J651">
        <v>7.0000000000000007E-2</v>
      </c>
      <c r="K651">
        <v>2.39</v>
      </c>
    </row>
    <row r="652" spans="1:11" x14ac:dyDescent="0.3">
      <c r="A652">
        <v>651</v>
      </c>
      <c r="B652" t="s">
        <v>645</v>
      </c>
      <c r="C652" t="s">
        <v>67</v>
      </c>
      <c r="D652">
        <v>2015</v>
      </c>
      <c r="E652" t="s">
        <v>18</v>
      </c>
      <c r="F652" t="s">
        <v>110</v>
      </c>
      <c r="G652">
        <v>0.49</v>
      </c>
      <c r="H652">
        <v>1.49</v>
      </c>
      <c r="I652">
        <v>0.05</v>
      </c>
      <c r="J652">
        <v>0.36</v>
      </c>
      <c r="K652">
        <v>2.39</v>
      </c>
    </row>
    <row r="653" spans="1:11" x14ac:dyDescent="0.3">
      <c r="A653">
        <v>652</v>
      </c>
      <c r="B653" t="s">
        <v>157</v>
      </c>
      <c r="C653" t="s">
        <v>39</v>
      </c>
      <c r="D653">
        <v>2010</v>
      </c>
      <c r="E653" t="s">
        <v>13</v>
      </c>
      <c r="F653" t="s">
        <v>158</v>
      </c>
      <c r="G653">
        <v>1.74</v>
      </c>
      <c r="H653">
        <v>0.48</v>
      </c>
      <c r="I653">
        <v>0</v>
      </c>
      <c r="J653">
        <v>0.18</v>
      </c>
      <c r="K653">
        <v>2.39</v>
      </c>
    </row>
    <row r="654" spans="1:11" x14ac:dyDescent="0.3">
      <c r="A654">
        <v>653</v>
      </c>
      <c r="B654" t="s">
        <v>350</v>
      </c>
      <c r="C654" t="s">
        <v>12</v>
      </c>
      <c r="D654" t="s">
        <v>224</v>
      </c>
      <c r="E654" t="s">
        <v>43</v>
      </c>
      <c r="F654" t="s">
        <v>195</v>
      </c>
      <c r="G654">
        <v>1.54</v>
      </c>
      <c r="H654">
        <v>0.63</v>
      </c>
      <c r="I654">
        <v>0</v>
      </c>
      <c r="J654">
        <v>0.22</v>
      </c>
      <c r="K654">
        <v>2.39</v>
      </c>
    </row>
    <row r="655" spans="1:11" x14ac:dyDescent="0.3">
      <c r="A655">
        <v>655</v>
      </c>
      <c r="B655" t="s">
        <v>646</v>
      </c>
      <c r="C655" t="s">
        <v>118</v>
      </c>
      <c r="D655">
        <v>1994</v>
      </c>
      <c r="E655" t="s">
        <v>28</v>
      </c>
      <c r="F655" t="s">
        <v>308</v>
      </c>
      <c r="G655">
        <v>1.49</v>
      </c>
      <c r="H655">
        <v>0.81</v>
      </c>
      <c r="I655">
        <v>0</v>
      </c>
      <c r="J655">
        <v>0.1</v>
      </c>
      <c r="K655">
        <v>2.39</v>
      </c>
    </row>
    <row r="656" spans="1:11" x14ac:dyDescent="0.3">
      <c r="A656">
        <v>656</v>
      </c>
      <c r="B656" t="s">
        <v>647</v>
      </c>
      <c r="C656" t="s">
        <v>42</v>
      </c>
      <c r="D656">
        <v>2013</v>
      </c>
      <c r="E656" t="s">
        <v>43</v>
      </c>
      <c r="F656" t="s">
        <v>205</v>
      </c>
      <c r="G656">
        <v>1.07</v>
      </c>
      <c r="H656">
        <v>0.87</v>
      </c>
      <c r="I656">
        <v>0.04</v>
      </c>
      <c r="J656">
        <v>0.4</v>
      </c>
      <c r="K656">
        <v>2.39</v>
      </c>
    </row>
    <row r="657" spans="1:11" x14ac:dyDescent="0.3">
      <c r="A657">
        <v>657</v>
      </c>
      <c r="B657" t="s">
        <v>648</v>
      </c>
      <c r="C657" t="s">
        <v>39</v>
      </c>
      <c r="D657">
        <v>2011</v>
      </c>
      <c r="E657" t="s">
        <v>43</v>
      </c>
      <c r="F657" t="s">
        <v>649</v>
      </c>
      <c r="G657">
        <v>1.48</v>
      </c>
      <c r="H657">
        <v>0.71</v>
      </c>
      <c r="I657">
        <v>0</v>
      </c>
      <c r="J657">
        <v>0.2</v>
      </c>
      <c r="K657">
        <v>2.39</v>
      </c>
    </row>
    <row r="658" spans="1:11" x14ac:dyDescent="0.3">
      <c r="A658">
        <v>658</v>
      </c>
      <c r="B658" t="s">
        <v>650</v>
      </c>
      <c r="C658" t="s">
        <v>46</v>
      </c>
      <c r="D658">
        <v>2005</v>
      </c>
      <c r="E658" t="s">
        <v>28</v>
      </c>
      <c r="F658" t="s">
        <v>237</v>
      </c>
      <c r="G658">
        <v>1.67</v>
      </c>
      <c r="H658">
        <v>0.61</v>
      </c>
      <c r="I658">
        <v>0.03</v>
      </c>
      <c r="J658">
        <v>7.0000000000000007E-2</v>
      </c>
      <c r="K658">
        <v>2.38</v>
      </c>
    </row>
    <row r="659" spans="1:11" x14ac:dyDescent="0.3">
      <c r="A659">
        <v>659</v>
      </c>
      <c r="B659" t="s">
        <v>194</v>
      </c>
      <c r="C659" t="s">
        <v>42</v>
      </c>
      <c r="D659">
        <v>2007</v>
      </c>
      <c r="E659" t="s">
        <v>43</v>
      </c>
      <c r="F659" t="s">
        <v>195</v>
      </c>
      <c r="G659">
        <v>1.02</v>
      </c>
      <c r="H659">
        <v>0.97</v>
      </c>
      <c r="I659">
        <v>0</v>
      </c>
      <c r="J659">
        <v>0.39</v>
      </c>
      <c r="K659">
        <v>2.38</v>
      </c>
    </row>
    <row r="660" spans="1:11" x14ac:dyDescent="0.3">
      <c r="A660">
        <v>660</v>
      </c>
      <c r="B660" t="s">
        <v>651</v>
      </c>
      <c r="C660" t="s">
        <v>39</v>
      </c>
      <c r="D660">
        <v>2011</v>
      </c>
      <c r="E660" t="s">
        <v>28</v>
      </c>
      <c r="F660" t="s">
        <v>40</v>
      </c>
      <c r="G660">
        <v>1.73</v>
      </c>
      <c r="H660">
        <v>0.46</v>
      </c>
      <c r="I660">
        <v>0.02</v>
      </c>
      <c r="J660">
        <v>0.18</v>
      </c>
      <c r="K660">
        <v>2.38</v>
      </c>
    </row>
    <row r="661" spans="1:11" x14ac:dyDescent="0.3">
      <c r="A661">
        <v>661</v>
      </c>
      <c r="B661" t="s">
        <v>652</v>
      </c>
      <c r="C661" t="s">
        <v>78</v>
      </c>
      <c r="D661">
        <v>1998</v>
      </c>
      <c r="E661" t="s">
        <v>72</v>
      </c>
      <c r="F661" t="s">
        <v>384</v>
      </c>
      <c r="G661">
        <v>1.94</v>
      </c>
      <c r="H661">
        <v>0.39</v>
      </c>
      <c r="I661">
        <v>0.03</v>
      </c>
      <c r="J661">
        <v>0.02</v>
      </c>
      <c r="K661">
        <v>2.38</v>
      </c>
    </row>
    <row r="662" spans="1:11" x14ac:dyDescent="0.3">
      <c r="A662">
        <v>662</v>
      </c>
      <c r="B662" t="s">
        <v>653</v>
      </c>
      <c r="C662" t="s">
        <v>67</v>
      </c>
      <c r="D662">
        <v>2015</v>
      </c>
      <c r="E662" t="s">
        <v>43</v>
      </c>
      <c r="F662" t="s">
        <v>59</v>
      </c>
      <c r="G662">
        <v>1</v>
      </c>
      <c r="H662">
        <v>0.76</v>
      </c>
      <c r="I662">
        <v>0.26</v>
      </c>
      <c r="J662">
        <v>0.36</v>
      </c>
      <c r="K662">
        <v>2.38</v>
      </c>
    </row>
    <row r="663" spans="1:11" x14ac:dyDescent="0.3">
      <c r="A663">
        <v>663</v>
      </c>
      <c r="B663" t="s">
        <v>654</v>
      </c>
      <c r="C663" t="s">
        <v>67</v>
      </c>
      <c r="D663">
        <v>2014</v>
      </c>
      <c r="E663" t="s">
        <v>13</v>
      </c>
      <c r="F663" t="s">
        <v>44</v>
      </c>
      <c r="G663">
        <v>1.46</v>
      </c>
      <c r="H663">
        <v>0.54</v>
      </c>
      <c r="I663">
        <v>0.01</v>
      </c>
      <c r="J663">
        <v>0.37</v>
      </c>
      <c r="K663">
        <v>2.38</v>
      </c>
    </row>
    <row r="664" spans="1:11" x14ac:dyDescent="0.3">
      <c r="A664">
        <v>664</v>
      </c>
      <c r="B664" t="s">
        <v>560</v>
      </c>
      <c r="C664" t="s">
        <v>42</v>
      </c>
      <c r="D664">
        <v>2010</v>
      </c>
      <c r="E664" t="s">
        <v>13</v>
      </c>
      <c r="F664" t="s">
        <v>110</v>
      </c>
      <c r="G664">
        <v>2.04</v>
      </c>
      <c r="H664">
        <v>0.15</v>
      </c>
      <c r="I664">
        <v>0</v>
      </c>
      <c r="J664">
        <v>0.19</v>
      </c>
      <c r="K664">
        <v>2.38</v>
      </c>
    </row>
    <row r="665" spans="1:11" x14ac:dyDescent="0.3">
      <c r="A665">
        <v>665</v>
      </c>
      <c r="B665" t="s">
        <v>655</v>
      </c>
      <c r="C665" t="s">
        <v>46</v>
      </c>
      <c r="D665">
        <v>2001</v>
      </c>
      <c r="E665" t="s">
        <v>28</v>
      </c>
      <c r="F665" t="s">
        <v>183</v>
      </c>
      <c r="G665">
        <v>1.1599999999999999</v>
      </c>
      <c r="H665">
        <v>0.91</v>
      </c>
      <c r="I665">
        <v>0</v>
      </c>
      <c r="J665">
        <v>0.3</v>
      </c>
      <c r="K665">
        <v>2.38</v>
      </c>
    </row>
    <row r="666" spans="1:11" x14ac:dyDescent="0.3">
      <c r="A666">
        <v>666</v>
      </c>
      <c r="B666" t="s">
        <v>597</v>
      </c>
      <c r="C666" t="s">
        <v>39</v>
      </c>
      <c r="D666">
        <v>2007</v>
      </c>
      <c r="E666" t="s">
        <v>13</v>
      </c>
      <c r="F666" t="s">
        <v>110</v>
      </c>
      <c r="G666">
        <v>2.1800000000000002</v>
      </c>
      <c r="H666">
        <v>0.01</v>
      </c>
      <c r="I666">
        <v>0</v>
      </c>
      <c r="J666">
        <v>0.18</v>
      </c>
      <c r="K666">
        <v>2.37</v>
      </c>
    </row>
    <row r="667" spans="1:11" x14ac:dyDescent="0.3">
      <c r="A667">
        <v>667</v>
      </c>
      <c r="B667" t="s">
        <v>656</v>
      </c>
      <c r="C667" t="s">
        <v>118</v>
      </c>
      <c r="D667">
        <v>2004</v>
      </c>
      <c r="E667" t="s">
        <v>31</v>
      </c>
      <c r="F667" t="s">
        <v>259</v>
      </c>
      <c r="G667">
        <v>2.2799999999999998</v>
      </c>
      <c r="H667">
        <v>0.02</v>
      </c>
      <c r="I667">
        <v>0.08</v>
      </c>
      <c r="J667">
        <v>0</v>
      </c>
      <c r="K667">
        <v>2.37</v>
      </c>
    </row>
    <row r="668" spans="1:11" x14ac:dyDescent="0.3">
      <c r="A668">
        <v>668</v>
      </c>
      <c r="B668" t="s">
        <v>657</v>
      </c>
      <c r="C668" t="s">
        <v>46</v>
      </c>
      <c r="D668">
        <v>2004</v>
      </c>
      <c r="E668" t="s">
        <v>43</v>
      </c>
      <c r="F668" t="s">
        <v>384</v>
      </c>
      <c r="G668">
        <v>0.96</v>
      </c>
      <c r="H668">
        <v>1.08</v>
      </c>
      <c r="I668">
        <v>0.04</v>
      </c>
      <c r="J668">
        <v>0.3</v>
      </c>
      <c r="K668">
        <v>2.37</v>
      </c>
    </row>
    <row r="669" spans="1:11" x14ac:dyDescent="0.3">
      <c r="A669">
        <v>669</v>
      </c>
      <c r="B669" t="s">
        <v>658</v>
      </c>
      <c r="C669" t="s">
        <v>46</v>
      </c>
      <c r="D669">
        <v>2004</v>
      </c>
      <c r="E669" t="s">
        <v>13</v>
      </c>
      <c r="F669" t="s">
        <v>61</v>
      </c>
      <c r="G669">
        <v>1.25</v>
      </c>
      <c r="H669">
        <v>0.86</v>
      </c>
      <c r="I669">
        <v>0.01</v>
      </c>
      <c r="J669">
        <v>0.26</v>
      </c>
      <c r="K669">
        <v>2.37</v>
      </c>
    </row>
    <row r="670" spans="1:11" x14ac:dyDescent="0.3">
      <c r="A670">
        <v>670</v>
      </c>
      <c r="B670" t="s">
        <v>522</v>
      </c>
      <c r="C670" t="s">
        <v>42</v>
      </c>
      <c r="D670">
        <v>2009</v>
      </c>
      <c r="E670" t="s">
        <v>13</v>
      </c>
      <c r="F670" t="s">
        <v>110</v>
      </c>
      <c r="G670">
        <v>2.0299999999999998</v>
      </c>
      <c r="H670">
        <v>0.13</v>
      </c>
      <c r="I670">
        <v>0</v>
      </c>
      <c r="J670">
        <v>0.21</v>
      </c>
      <c r="K670">
        <v>2.37</v>
      </c>
    </row>
    <row r="671" spans="1:11" x14ac:dyDescent="0.3">
      <c r="A671">
        <v>671</v>
      </c>
      <c r="B671" t="s">
        <v>659</v>
      </c>
      <c r="C671" t="s">
        <v>39</v>
      </c>
      <c r="D671">
        <v>2011</v>
      </c>
      <c r="E671" t="s">
        <v>13</v>
      </c>
      <c r="F671" t="s">
        <v>40</v>
      </c>
      <c r="G671">
        <v>1.38</v>
      </c>
      <c r="H671">
        <v>0.74</v>
      </c>
      <c r="I671">
        <v>0.02</v>
      </c>
      <c r="J671">
        <v>0.22</v>
      </c>
      <c r="K671">
        <v>2.36</v>
      </c>
    </row>
    <row r="672" spans="1:11" x14ac:dyDescent="0.3">
      <c r="A672">
        <v>672</v>
      </c>
      <c r="B672" t="s">
        <v>660</v>
      </c>
      <c r="C672" t="s">
        <v>21</v>
      </c>
      <c r="D672">
        <v>1995</v>
      </c>
      <c r="E672" t="s">
        <v>2</v>
      </c>
      <c r="F672" t="s">
        <v>14</v>
      </c>
      <c r="G672">
        <v>0.69</v>
      </c>
      <c r="H672">
        <v>0.14000000000000001</v>
      </c>
      <c r="I672">
        <v>1.48</v>
      </c>
      <c r="J672">
        <v>0.05</v>
      </c>
      <c r="K672">
        <v>2.36</v>
      </c>
    </row>
    <row r="673" spans="1:11" x14ac:dyDescent="0.3">
      <c r="A673">
        <v>673</v>
      </c>
      <c r="B673" t="s">
        <v>614</v>
      </c>
      <c r="C673" t="s">
        <v>26</v>
      </c>
      <c r="D673">
        <v>2010</v>
      </c>
      <c r="E673" t="s">
        <v>43</v>
      </c>
      <c r="F673" t="s">
        <v>205</v>
      </c>
      <c r="G673">
        <v>1.07</v>
      </c>
      <c r="H673">
        <v>1.05</v>
      </c>
      <c r="I673">
        <v>0</v>
      </c>
      <c r="J673">
        <v>0.23</v>
      </c>
      <c r="K673">
        <v>2.35</v>
      </c>
    </row>
    <row r="674" spans="1:11" x14ac:dyDescent="0.3">
      <c r="A674">
        <v>674</v>
      </c>
      <c r="B674" t="s">
        <v>661</v>
      </c>
      <c r="C674" t="s">
        <v>21</v>
      </c>
      <c r="D674">
        <v>1996</v>
      </c>
      <c r="E674" t="s">
        <v>2</v>
      </c>
      <c r="F674" t="s">
        <v>14</v>
      </c>
      <c r="G674">
        <v>1.39</v>
      </c>
      <c r="H674">
        <v>0.48</v>
      </c>
      <c r="I674">
        <v>0.4</v>
      </c>
      <c r="J674">
        <v>0.08</v>
      </c>
      <c r="K674">
        <v>2.35</v>
      </c>
    </row>
    <row r="675" spans="1:11" x14ac:dyDescent="0.3">
      <c r="A675">
        <v>675</v>
      </c>
      <c r="B675" t="s">
        <v>662</v>
      </c>
      <c r="C675" t="s">
        <v>21</v>
      </c>
      <c r="D675">
        <v>1998</v>
      </c>
      <c r="E675" t="s">
        <v>22</v>
      </c>
      <c r="F675" t="s">
        <v>222</v>
      </c>
      <c r="G675">
        <v>0</v>
      </c>
      <c r="H675">
        <v>0</v>
      </c>
      <c r="I675">
        <v>2.34</v>
      </c>
      <c r="J675">
        <v>0.01</v>
      </c>
      <c r="K675">
        <v>2.35</v>
      </c>
    </row>
    <row r="676" spans="1:11" x14ac:dyDescent="0.3">
      <c r="A676">
        <v>676</v>
      </c>
      <c r="B676" t="s">
        <v>623</v>
      </c>
      <c r="C676" t="s">
        <v>39</v>
      </c>
      <c r="D676">
        <v>2008</v>
      </c>
      <c r="E676" t="s">
        <v>18</v>
      </c>
      <c r="F676" t="s">
        <v>44</v>
      </c>
      <c r="G676">
        <v>1.68</v>
      </c>
      <c r="H676">
        <v>0.46</v>
      </c>
      <c r="I676">
        <v>0.01</v>
      </c>
      <c r="J676">
        <v>0.2</v>
      </c>
      <c r="K676">
        <v>2.35</v>
      </c>
    </row>
    <row r="677" spans="1:11" x14ac:dyDescent="0.3">
      <c r="A677">
        <v>677</v>
      </c>
      <c r="B677" t="s">
        <v>663</v>
      </c>
      <c r="C677" t="s">
        <v>12</v>
      </c>
      <c r="D677">
        <v>2013</v>
      </c>
      <c r="E677" t="s">
        <v>2</v>
      </c>
      <c r="F677" t="s">
        <v>61</v>
      </c>
      <c r="G677">
        <v>1.32</v>
      </c>
      <c r="H677">
        <v>0.83</v>
      </c>
      <c r="I677">
        <v>0</v>
      </c>
      <c r="J677">
        <v>0.2</v>
      </c>
      <c r="K677">
        <v>2.34</v>
      </c>
    </row>
    <row r="678" spans="1:11" x14ac:dyDescent="0.3">
      <c r="A678">
        <v>678</v>
      </c>
      <c r="B678" t="s">
        <v>664</v>
      </c>
      <c r="C678" t="s">
        <v>46</v>
      </c>
      <c r="D678">
        <v>2007</v>
      </c>
      <c r="E678" t="s">
        <v>72</v>
      </c>
      <c r="F678" t="s">
        <v>384</v>
      </c>
      <c r="G678">
        <v>0.92</v>
      </c>
      <c r="H678">
        <v>0</v>
      </c>
      <c r="I678">
        <v>0.01</v>
      </c>
      <c r="J678">
        <v>1.41</v>
      </c>
      <c r="K678">
        <v>2.34</v>
      </c>
    </row>
    <row r="679" spans="1:11" x14ac:dyDescent="0.3">
      <c r="A679">
        <v>679</v>
      </c>
      <c r="B679" t="s">
        <v>665</v>
      </c>
      <c r="C679" t="s">
        <v>12</v>
      </c>
      <c r="D679">
        <v>2008</v>
      </c>
      <c r="E679" t="s">
        <v>13</v>
      </c>
      <c r="F679" t="s">
        <v>92</v>
      </c>
      <c r="G679">
        <v>1.2</v>
      </c>
      <c r="H679">
        <v>0.9</v>
      </c>
      <c r="I679">
        <v>0</v>
      </c>
      <c r="J679">
        <v>0.24</v>
      </c>
      <c r="K679">
        <v>2.34</v>
      </c>
    </row>
    <row r="680" spans="1:11" x14ac:dyDescent="0.3">
      <c r="A680">
        <v>680</v>
      </c>
      <c r="B680" t="s">
        <v>666</v>
      </c>
      <c r="C680" t="s">
        <v>46</v>
      </c>
      <c r="D680">
        <v>2001</v>
      </c>
      <c r="E680" t="s">
        <v>43</v>
      </c>
      <c r="F680" t="s">
        <v>175</v>
      </c>
      <c r="G680">
        <v>1.08</v>
      </c>
      <c r="H680">
        <v>0.7</v>
      </c>
      <c r="I680">
        <v>0.34</v>
      </c>
      <c r="J680">
        <v>0.21</v>
      </c>
      <c r="K680">
        <v>2.34</v>
      </c>
    </row>
    <row r="681" spans="1:11" x14ac:dyDescent="0.3">
      <c r="A681">
        <v>681</v>
      </c>
      <c r="B681" t="s">
        <v>117</v>
      </c>
      <c r="C681" t="s">
        <v>39</v>
      </c>
      <c r="D681">
        <v>2010</v>
      </c>
      <c r="E681" t="s">
        <v>33</v>
      </c>
      <c r="F681" t="s">
        <v>110</v>
      </c>
      <c r="G681">
        <v>1.27</v>
      </c>
      <c r="H681">
        <v>0.86</v>
      </c>
      <c r="I681">
        <v>0</v>
      </c>
      <c r="J681">
        <v>0.2</v>
      </c>
      <c r="K681">
        <v>2.33</v>
      </c>
    </row>
    <row r="682" spans="1:11" x14ac:dyDescent="0.3">
      <c r="A682">
        <v>682</v>
      </c>
      <c r="B682" t="s">
        <v>667</v>
      </c>
      <c r="C682" t="s">
        <v>65</v>
      </c>
      <c r="D682">
        <v>2015</v>
      </c>
      <c r="E682" t="s">
        <v>43</v>
      </c>
      <c r="F682" t="s">
        <v>14</v>
      </c>
      <c r="G682">
        <v>1.1399999999999999</v>
      </c>
      <c r="H682">
        <v>0.54</v>
      </c>
      <c r="I682">
        <v>0.47</v>
      </c>
      <c r="J682">
        <v>0.17</v>
      </c>
      <c r="K682">
        <v>2.3199999999999998</v>
      </c>
    </row>
    <row r="683" spans="1:11" x14ac:dyDescent="0.3">
      <c r="A683">
        <v>683</v>
      </c>
      <c r="B683" t="s">
        <v>340</v>
      </c>
      <c r="C683" t="s">
        <v>140</v>
      </c>
      <c r="D683">
        <v>2015</v>
      </c>
      <c r="E683" t="s">
        <v>13</v>
      </c>
      <c r="F683" t="s">
        <v>44</v>
      </c>
      <c r="G683">
        <v>1.93</v>
      </c>
      <c r="H683">
        <v>0.14000000000000001</v>
      </c>
      <c r="I683">
        <v>0</v>
      </c>
      <c r="J683">
        <v>0.24</v>
      </c>
      <c r="K683">
        <v>2.3199999999999998</v>
      </c>
    </row>
    <row r="684" spans="1:11" x14ac:dyDescent="0.3">
      <c r="A684">
        <v>684</v>
      </c>
      <c r="B684" t="s">
        <v>668</v>
      </c>
      <c r="C684" t="s">
        <v>12</v>
      </c>
      <c r="D684">
        <v>2010</v>
      </c>
      <c r="E684" t="s">
        <v>28</v>
      </c>
      <c r="F684" t="s">
        <v>92</v>
      </c>
      <c r="G684">
        <v>1.57</v>
      </c>
      <c r="H684">
        <v>0.56000000000000005</v>
      </c>
      <c r="I684">
        <v>0</v>
      </c>
      <c r="J684">
        <v>0.19</v>
      </c>
      <c r="K684">
        <v>2.3199999999999998</v>
      </c>
    </row>
    <row r="685" spans="1:11" x14ac:dyDescent="0.3">
      <c r="A685">
        <v>685</v>
      </c>
      <c r="B685" t="s">
        <v>669</v>
      </c>
      <c r="C685" t="s">
        <v>78</v>
      </c>
      <c r="D685">
        <v>2000</v>
      </c>
      <c r="E685" t="s">
        <v>13</v>
      </c>
      <c r="F685" t="s">
        <v>14</v>
      </c>
      <c r="G685">
        <v>0.78</v>
      </c>
      <c r="H685">
        <v>0.4</v>
      </c>
      <c r="I685">
        <v>1.06</v>
      </c>
      <c r="J685">
        <v>7.0000000000000007E-2</v>
      </c>
      <c r="K685">
        <v>2.3199999999999998</v>
      </c>
    </row>
    <row r="686" spans="1:11" x14ac:dyDescent="0.3">
      <c r="A686">
        <v>686</v>
      </c>
      <c r="B686" t="s">
        <v>670</v>
      </c>
      <c r="C686" t="s">
        <v>86</v>
      </c>
      <c r="D686">
        <v>1997</v>
      </c>
      <c r="E686" t="s">
        <v>43</v>
      </c>
      <c r="F686" t="s">
        <v>44</v>
      </c>
      <c r="G686">
        <v>0.79</v>
      </c>
      <c r="H686">
        <v>1.35</v>
      </c>
      <c r="I686">
        <v>0.04</v>
      </c>
      <c r="J686">
        <v>0.14000000000000001</v>
      </c>
      <c r="K686">
        <v>2.3199999999999998</v>
      </c>
    </row>
    <row r="687" spans="1:11" x14ac:dyDescent="0.3">
      <c r="A687">
        <v>687</v>
      </c>
      <c r="B687" t="s">
        <v>671</v>
      </c>
      <c r="C687" t="s">
        <v>46</v>
      </c>
      <c r="D687">
        <v>2004</v>
      </c>
      <c r="E687" t="s">
        <v>31</v>
      </c>
      <c r="F687" t="s">
        <v>110</v>
      </c>
      <c r="G687">
        <v>0.85</v>
      </c>
      <c r="H687">
        <v>1.06</v>
      </c>
      <c r="I687">
        <v>0.09</v>
      </c>
      <c r="J687">
        <v>0.32</v>
      </c>
      <c r="K687">
        <v>2.31</v>
      </c>
    </row>
    <row r="688" spans="1:11" x14ac:dyDescent="0.3">
      <c r="A688">
        <v>688</v>
      </c>
      <c r="B688" t="s">
        <v>672</v>
      </c>
      <c r="C688" t="s">
        <v>26</v>
      </c>
      <c r="D688">
        <v>2004</v>
      </c>
      <c r="E688" t="s">
        <v>24</v>
      </c>
      <c r="F688" t="s">
        <v>14</v>
      </c>
      <c r="G688">
        <v>0.52</v>
      </c>
      <c r="H688">
        <v>0.45</v>
      </c>
      <c r="I688">
        <v>1.21</v>
      </c>
      <c r="J688">
        <v>0.13</v>
      </c>
      <c r="K688">
        <v>2.31</v>
      </c>
    </row>
    <row r="689" spans="1:11" x14ac:dyDescent="0.3">
      <c r="A689">
        <v>689</v>
      </c>
      <c r="B689" t="s">
        <v>673</v>
      </c>
      <c r="C689" t="s">
        <v>86</v>
      </c>
      <c r="D689">
        <v>1999</v>
      </c>
      <c r="E689" t="s">
        <v>18</v>
      </c>
      <c r="F689" t="s">
        <v>110</v>
      </c>
      <c r="G689">
        <v>1.58</v>
      </c>
      <c r="H689">
        <v>0.64</v>
      </c>
      <c r="I689">
        <v>0</v>
      </c>
      <c r="J689">
        <v>0.09</v>
      </c>
      <c r="K689">
        <v>2.31</v>
      </c>
    </row>
    <row r="690" spans="1:11" x14ac:dyDescent="0.3">
      <c r="A690">
        <v>690</v>
      </c>
      <c r="B690" t="s">
        <v>674</v>
      </c>
      <c r="C690" t="s">
        <v>48</v>
      </c>
      <c r="D690">
        <v>1995</v>
      </c>
      <c r="E690" t="s">
        <v>22</v>
      </c>
      <c r="F690" t="s">
        <v>124</v>
      </c>
      <c r="G690">
        <v>0.28000000000000003</v>
      </c>
      <c r="H690">
        <v>0</v>
      </c>
      <c r="I690">
        <v>2.02</v>
      </c>
      <c r="J690">
        <v>0.01</v>
      </c>
      <c r="K690">
        <v>2.31</v>
      </c>
    </row>
    <row r="691" spans="1:11" x14ac:dyDescent="0.3">
      <c r="A691">
        <v>691</v>
      </c>
      <c r="B691" t="s">
        <v>675</v>
      </c>
      <c r="C691" t="s">
        <v>86</v>
      </c>
      <c r="D691">
        <v>1998</v>
      </c>
      <c r="E691" t="s">
        <v>13</v>
      </c>
      <c r="F691" t="s">
        <v>676</v>
      </c>
      <c r="G691">
        <v>1.65</v>
      </c>
      <c r="H691">
        <v>0.46</v>
      </c>
      <c r="I691">
        <v>0.1</v>
      </c>
      <c r="J691">
        <v>0.1</v>
      </c>
      <c r="K691">
        <v>2.31</v>
      </c>
    </row>
    <row r="692" spans="1:11" x14ac:dyDescent="0.3">
      <c r="A692">
        <v>692</v>
      </c>
      <c r="B692" t="s">
        <v>677</v>
      </c>
      <c r="C692" t="s">
        <v>39</v>
      </c>
      <c r="D692">
        <v>2013</v>
      </c>
      <c r="E692" t="s">
        <v>43</v>
      </c>
      <c r="F692" t="s">
        <v>205</v>
      </c>
      <c r="G692">
        <v>1.24</v>
      </c>
      <c r="H692">
        <v>0.85</v>
      </c>
      <c r="I692">
        <v>0</v>
      </c>
      <c r="J692">
        <v>0.21</v>
      </c>
      <c r="K692">
        <v>2.2999999999999998</v>
      </c>
    </row>
    <row r="693" spans="1:11" x14ac:dyDescent="0.3">
      <c r="A693">
        <v>693</v>
      </c>
      <c r="B693" t="s">
        <v>678</v>
      </c>
      <c r="C693" t="s">
        <v>118</v>
      </c>
      <c r="D693">
        <v>2012</v>
      </c>
      <c r="E693" t="s">
        <v>43</v>
      </c>
      <c r="F693" t="s">
        <v>679</v>
      </c>
      <c r="G693">
        <v>0.95</v>
      </c>
      <c r="H693">
        <v>1.06</v>
      </c>
      <c r="I693">
        <v>0</v>
      </c>
      <c r="J693">
        <v>0.28999999999999998</v>
      </c>
      <c r="K693">
        <v>2.2999999999999998</v>
      </c>
    </row>
    <row r="694" spans="1:11" x14ac:dyDescent="0.3">
      <c r="A694">
        <v>694</v>
      </c>
      <c r="B694" t="s">
        <v>680</v>
      </c>
      <c r="C694" t="s">
        <v>26</v>
      </c>
      <c r="D694">
        <v>2008</v>
      </c>
      <c r="E694" t="s">
        <v>22</v>
      </c>
      <c r="F694" t="s">
        <v>14</v>
      </c>
      <c r="G694">
        <v>0.95</v>
      </c>
      <c r="H694">
        <v>0.54</v>
      </c>
      <c r="I694">
        <v>0.62</v>
      </c>
      <c r="J694">
        <v>0.18</v>
      </c>
      <c r="K694">
        <v>2.2999999999999998</v>
      </c>
    </row>
    <row r="695" spans="1:11" x14ac:dyDescent="0.3">
      <c r="A695">
        <v>695</v>
      </c>
      <c r="B695" t="s">
        <v>648</v>
      </c>
      <c r="C695" t="s">
        <v>42</v>
      </c>
      <c r="D695">
        <v>2011</v>
      </c>
      <c r="E695" t="s">
        <v>43</v>
      </c>
      <c r="F695" t="s">
        <v>649</v>
      </c>
      <c r="G695">
        <v>1.08</v>
      </c>
      <c r="H695">
        <v>0.75</v>
      </c>
      <c r="I695">
        <v>0.15</v>
      </c>
      <c r="J695">
        <v>0.31</v>
      </c>
      <c r="K695">
        <v>2.29</v>
      </c>
    </row>
    <row r="696" spans="1:11" x14ac:dyDescent="0.3">
      <c r="A696">
        <v>696</v>
      </c>
      <c r="B696" t="s">
        <v>221</v>
      </c>
      <c r="C696" t="s">
        <v>118</v>
      </c>
      <c r="D696">
        <v>1997</v>
      </c>
      <c r="E696" t="s">
        <v>43</v>
      </c>
      <c r="F696" t="s">
        <v>222</v>
      </c>
      <c r="G696">
        <v>0.91</v>
      </c>
      <c r="H696">
        <v>1.25</v>
      </c>
      <c r="I696">
        <v>0</v>
      </c>
      <c r="J696">
        <v>0.13</v>
      </c>
      <c r="K696">
        <v>2.29</v>
      </c>
    </row>
    <row r="697" spans="1:11" x14ac:dyDescent="0.3">
      <c r="A697">
        <v>697</v>
      </c>
      <c r="B697" t="s">
        <v>681</v>
      </c>
      <c r="C697" t="s">
        <v>42</v>
      </c>
      <c r="D697">
        <v>2013</v>
      </c>
      <c r="E697" t="s">
        <v>43</v>
      </c>
      <c r="F697" t="s">
        <v>59</v>
      </c>
      <c r="G697">
        <v>1.23</v>
      </c>
      <c r="H697">
        <v>0.68</v>
      </c>
      <c r="I697">
        <v>0.04</v>
      </c>
      <c r="J697">
        <v>0.34</v>
      </c>
      <c r="K697">
        <v>2.29</v>
      </c>
    </row>
    <row r="698" spans="1:11" x14ac:dyDescent="0.3">
      <c r="A698">
        <v>698</v>
      </c>
      <c r="B698" t="s">
        <v>153</v>
      </c>
      <c r="C698" t="s">
        <v>113</v>
      </c>
      <c r="D698">
        <v>2004</v>
      </c>
      <c r="E698" t="s">
        <v>18</v>
      </c>
      <c r="F698" t="s">
        <v>110</v>
      </c>
      <c r="G698">
        <v>1.38</v>
      </c>
      <c r="H698">
        <v>0.8</v>
      </c>
      <c r="I698">
        <v>0</v>
      </c>
      <c r="J698">
        <v>0.1</v>
      </c>
      <c r="K698">
        <v>2.2799999999999998</v>
      </c>
    </row>
    <row r="699" spans="1:11" x14ac:dyDescent="0.3">
      <c r="A699">
        <v>699</v>
      </c>
      <c r="B699" t="s">
        <v>682</v>
      </c>
      <c r="C699" t="s">
        <v>42</v>
      </c>
      <c r="D699">
        <v>2009</v>
      </c>
      <c r="E699" t="s">
        <v>13</v>
      </c>
      <c r="F699" t="s">
        <v>183</v>
      </c>
      <c r="G699">
        <v>0.3</v>
      </c>
      <c r="H699">
        <v>1.27</v>
      </c>
      <c r="I699">
        <v>0.46</v>
      </c>
      <c r="J699">
        <v>0.26</v>
      </c>
      <c r="K699">
        <v>2.2799999999999998</v>
      </c>
    </row>
    <row r="700" spans="1:11" x14ac:dyDescent="0.3">
      <c r="A700">
        <v>700</v>
      </c>
      <c r="B700" t="s">
        <v>683</v>
      </c>
      <c r="C700" t="s">
        <v>12</v>
      </c>
      <c r="D700">
        <v>2014</v>
      </c>
      <c r="E700" t="s">
        <v>28</v>
      </c>
      <c r="F700" t="s">
        <v>92</v>
      </c>
      <c r="G700">
        <v>1.1100000000000001</v>
      </c>
      <c r="H700">
        <v>0.98</v>
      </c>
      <c r="I700">
        <v>0</v>
      </c>
      <c r="J700">
        <v>0.2</v>
      </c>
      <c r="K700">
        <v>2.2799999999999998</v>
      </c>
    </row>
    <row r="701" spans="1:11" x14ac:dyDescent="0.3">
      <c r="A701">
        <v>701</v>
      </c>
      <c r="B701" t="s">
        <v>684</v>
      </c>
      <c r="C701" t="s">
        <v>65</v>
      </c>
      <c r="D701">
        <v>2015</v>
      </c>
      <c r="E701" t="s">
        <v>43</v>
      </c>
      <c r="F701" t="s">
        <v>565</v>
      </c>
      <c r="G701">
        <v>0</v>
      </c>
      <c r="H701">
        <v>0</v>
      </c>
      <c r="I701">
        <v>2.2799999999999998</v>
      </c>
      <c r="J701">
        <v>0</v>
      </c>
      <c r="K701">
        <v>2.2799999999999998</v>
      </c>
    </row>
    <row r="702" spans="1:11" x14ac:dyDescent="0.3">
      <c r="A702">
        <v>702</v>
      </c>
      <c r="B702" t="s">
        <v>685</v>
      </c>
      <c r="C702" t="s">
        <v>16</v>
      </c>
      <c r="D702">
        <v>1983</v>
      </c>
      <c r="E702" t="s">
        <v>2</v>
      </c>
      <c r="F702" t="s">
        <v>14</v>
      </c>
      <c r="G702">
        <v>0.51</v>
      </c>
      <c r="H702">
        <v>0.12</v>
      </c>
      <c r="I702">
        <v>1.63</v>
      </c>
      <c r="J702">
        <v>0.02</v>
      </c>
      <c r="K702">
        <v>2.2799999999999998</v>
      </c>
    </row>
    <row r="703" spans="1:11" x14ac:dyDescent="0.3">
      <c r="A703">
        <v>703</v>
      </c>
      <c r="B703" t="s">
        <v>587</v>
      </c>
      <c r="C703" t="s">
        <v>46</v>
      </c>
      <c r="D703">
        <v>2008</v>
      </c>
      <c r="E703" t="s">
        <v>13</v>
      </c>
      <c r="F703" t="s">
        <v>110</v>
      </c>
      <c r="G703">
        <v>0.38</v>
      </c>
      <c r="H703">
        <v>7.0000000000000007E-2</v>
      </c>
      <c r="I703">
        <v>0.01</v>
      </c>
      <c r="J703">
        <v>1.82</v>
      </c>
      <c r="K703">
        <v>2.2799999999999998</v>
      </c>
    </row>
    <row r="704" spans="1:11" x14ac:dyDescent="0.3">
      <c r="A704">
        <v>704</v>
      </c>
      <c r="B704" t="s">
        <v>532</v>
      </c>
      <c r="C704" t="s">
        <v>42</v>
      </c>
      <c r="D704">
        <v>2008</v>
      </c>
      <c r="E704" t="s">
        <v>43</v>
      </c>
      <c r="F704" t="s">
        <v>195</v>
      </c>
      <c r="G704">
        <v>1.01</v>
      </c>
      <c r="H704">
        <v>0.9</v>
      </c>
      <c r="I704">
        <v>0</v>
      </c>
      <c r="J704">
        <v>0.37</v>
      </c>
      <c r="K704">
        <v>2.2799999999999998</v>
      </c>
    </row>
    <row r="705" spans="1:11" x14ac:dyDescent="0.3">
      <c r="A705">
        <v>705</v>
      </c>
      <c r="B705" t="s">
        <v>466</v>
      </c>
      <c r="C705" t="s">
        <v>42</v>
      </c>
      <c r="D705">
        <v>2012</v>
      </c>
      <c r="E705" t="s">
        <v>31</v>
      </c>
      <c r="F705" t="s">
        <v>44</v>
      </c>
      <c r="G705">
        <v>1.05</v>
      </c>
      <c r="H705">
        <v>0.77</v>
      </c>
      <c r="I705">
        <v>0.1</v>
      </c>
      <c r="J705">
        <v>0.36</v>
      </c>
      <c r="K705">
        <v>2.2799999999999998</v>
      </c>
    </row>
    <row r="706" spans="1:11" x14ac:dyDescent="0.3">
      <c r="A706">
        <v>706</v>
      </c>
      <c r="B706" t="s">
        <v>686</v>
      </c>
      <c r="C706" t="s">
        <v>86</v>
      </c>
      <c r="D706">
        <v>1997</v>
      </c>
      <c r="E706" t="s">
        <v>18</v>
      </c>
      <c r="F706" t="s">
        <v>513</v>
      </c>
      <c r="G706">
        <v>7.0000000000000007E-2</v>
      </c>
      <c r="H706">
        <v>2</v>
      </c>
      <c r="I706">
        <v>0.02</v>
      </c>
      <c r="J706">
        <v>0.18</v>
      </c>
      <c r="K706">
        <v>2.2799999999999998</v>
      </c>
    </row>
    <row r="707" spans="1:11" x14ac:dyDescent="0.3">
      <c r="A707">
        <v>707</v>
      </c>
      <c r="B707" t="s">
        <v>687</v>
      </c>
      <c r="C707" t="s">
        <v>65</v>
      </c>
      <c r="D707">
        <v>2012</v>
      </c>
      <c r="E707" t="s">
        <v>22</v>
      </c>
      <c r="F707" t="s">
        <v>14</v>
      </c>
      <c r="G707">
        <v>1.1200000000000001</v>
      </c>
      <c r="H707">
        <v>0.39</v>
      </c>
      <c r="I707">
        <v>0.64</v>
      </c>
      <c r="J707">
        <v>0.12</v>
      </c>
      <c r="K707">
        <v>2.27</v>
      </c>
    </row>
    <row r="708" spans="1:11" x14ac:dyDescent="0.3">
      <c r="A708">
        <v>708</v>
      </c>
      <c r="B708" t="s">
        <v>688</v>
      </c>
      <c r="C708" t="s">
        <v>42</v>
      </c>
      <c r="D708">
        <v>2009</v>
      </c>
      <c r="E708" t="s">
        <v>28</v>
      </c>
      <c r="F708" t="s">
        <v>121</v>
      </c>
      <c r="G708">
        <v>1.34</v>
      </c>
      <c r="H708">
        <v>0.62</v>
      </c>
      <c r="I708">
        <v>0</v>
      </c>
      <c r="J708">
        <v>0.31</v>
      </c>
      <c r="K708">
        <v>2.27</v>
      </c>
    </row>
    <row r="709" spans="1:11" x14ac:dyDescent="0.3">
      <c r="A709">
        <v>709</v>
      </c>
      <c r="B709" t="s">
        <v>689</v>
      </c>
      <c r="C709" t="s">
        <v>12</v>
      </c>
      <c r="D709">
        <v>2006</v>
      </c>
      <c r="E709" t="s">
        <v>28</v>
      </c>
      <c r="F709" t="s">
        <v>121</v>
      </c>
      <c r="G709">
        <v>1.07</v>
      </c>
      <c r="H709">
        <v>0.92</v>
      </c>
      <c r="I709">
        <v>0.04</v>
      </c>
      <c r="J709">
        <v>0.24</v>
      </c>
      <c r="K709">
        <v>2.27</v>
      </c>
    </row>
    <row r="710" spans="1:11" x14ac:dyDescent="0.3">
      <c r="A710">
        <v>710</v>
      </c>
      <c r="B710" t="s">
        <v>690</v>
      </c>
      <c r="C710" t="s">
        <v>55</v>
      </c>
      <c r="D710">
        <v>2002</v>
      </c>
      <c r="E710" t="s">
        <v>2</v>
      </c>
      <c r="F710" t="s">
        <v>14</v>
      </c>
      <c r="G710">
        <v>1.22</v>
      </c>
      <c r="H710">
        <v>0.1</v>
      </c>
      <c r="I710">
        <v>0.91</v>
      </c>
      <c r="J710">
        <v>0.04</v>
      </c>
      <c r="K710">
        <v>2.27</v>
      </c>
    </row>
    <row r="711" spans="1:11" x14ac:dyDescent="0.3">
      <c r="A711">
        <v>711</v>
      </c>
      <c r="B711" t="s">
        <v>691</v>
      </c>
      <c r="C711" t="s">
        <v>55</v>
      </c>
      <c r="D711">
        <v>2001</v>
      </c>
      <c r="E711" t="s">
        <v>2</v>
      </c>
      <c r="F711" t="s">
        <v>14</v>
      </c>
      <c r="G711">
        <v>0.9</v>
      </c>
      <c r="H711">
        <v>0.73</v>
      </c>
      <c r="I711">
        <v>0.54</v>
      </c>
      <c r="J711">
        <v>0.09</v>
      </c>
      <c r="K711">
        <v>2.2599999999999998</v>
      </c>
    </row>
    <row r="712" spans="1:11" x14ac:dyDescent="0.3">
      <c r="A712">
        <v>712</v>
      </c>
      <c r="B712" t="s">
        <v>246</v>
      </c>
      <c r="C712" t="s">
        <v>42</v>
      </c>
      <c r="D712">
        <v>2007</v>
      </c>
      <c r="E712" t="s">
        <v>28</v>
      </c>
      <c r="F712" t="s">
        <v>61</v>
      </c>
      <c r="G712">
        <v>1.4</v>
      </c>
      <c r="H712">
        <v>0.54</v>
      </c>
      <c r="I712">
        <v>0.02</v>
      </c>
      <c r="J712">
        <v>0.3</v>
      </c>
      <c r="K712">
        <v>2.2599999999999998</v>
      </c>
    </row>
    <row r="713" spans="1:11" x14ac:dyDescent="0.3">
      <c r="A713">
        <v>713</v>
      </c>
      <c r="B713" t="s">
        <v>554</v>
      </c>
      <c r="C713" t="s">
        <v>12</v>
      </c>
      <c r="D713" t="s">
        <v>224</v>
      </c>
      <c r="E713" t="s">
        <v>31</v>
      </c>
      <c r="F713" t="s">
        <v>61</v>
      </c>
      <c r="G713">
        <v>1.19</v>
      </c>
      <c r="H713">
        <v>0.84</v>
      </c>
      <c r="I713">
        <v>0</v>
      </c>
      <c r="J713">
        <v>0.23</v>
      </c>
      <c r="K713">
        <v>2.2599999999999998</v>
      </c>
    </row>
    <row r="714" spans="1:11" x14ac:dyDescent="0.3">
      <c r="A714">
        <v>714</v>
      </c>
      <c r="B714" t="s">
        <v>375</v>
      </c>
      <c r="C714" t="s">
        <v>12</v>
      </c>
      <c r="D714">
        <v>2007</v>
      </c>
      <c r="E714" t="s">
        <v>43</v>
      </c>
      <c r="F714" t="s">
        <v>175</v>
      </c>
      <c r="G714">
        <v>1.34</v>
      </c>
      <c r="H714">
        <v>0.56999999999999995</v>
      </c>
      <c r="I714">
        <v>0.14000000000000001</v>
      </c>
      <c r="J714">
        <v>0.21</v>
      </c>
      <c r="K714">
        <v>2.2599999999999998</v>
      </c>
    </row>
    <row r="715" spans="1:11" x14ac:dyDescent="0.3">
      <c r="A715">
        <v>715</v>
      </c>
      <c r="B715" t="s">
        <v>103</v>
      </c>
      <c r="C715" t="s">
        <v>692</v>
      </c>
      <c r="D715">
        <v>2014</v>
      </c>
      <c r="E715" t="s">
        <v>28</v>
      </c>
      <c r="F715" t="s">
        <v>189</v>
      </c>
      <c r="G715">
        <v>0.28000000000000003</v>
      </c>
      <c r="H715">
        <v>0.79</v>
      </c>
      <c r="I715">
        <v>0.87</v>
      </c>
      <c r="J715">
        <v>0.32</v>
      </c>
      <c r="K715">
        <v>2.25</v>
      </c>
    </row>
    <row r="716" spans="1:11" x14ac:dyDescent="0.3">
      <c r="A716">
        <v>716</v>
      </c>
      <c r="B716" t="s">
        <v>693</v>
      </c>
      <c r="C716" t="s">
        <v>46</v>
      </c>
      <c r="D716">
        <v>2002</v>
      </c>
      <c r="E716" t="s">
        <v>83</v>
      </c>
      <c r="F716" t="s">
        <v>175</v>
      </c>
      <c r="G716">
        <v>0.62</v>
      </c>
      <c r="H716">
        <v>0.44</v>
      </c>
      <c r="I716">
        <v>1.06</v>
      </c>
      <c r="J716">
        <v>0.13</v>
      </c>
      <c r="K716">
        <v>2.25</v>
      </c>
    </row>
    <row r="717" spans="1:11" x14ac:dyDescent="0.3">
      <c r="A717">
        <v>717</v>
      </c>
      <c r="B717" t="s">
        <v>694</v>
      </c>
      <c r="C717" t="s">
        <v>86</v>
      </c>
      <c r="D717">
        <v>1997</v>
      </c>
      <c r="E717" t="s">
        <v>13</v>
      </c>
      <c r="F717" t="s">
        <v>695</v>
      </c>
      <c r="G717">
        <v>1.52</v>
      </c>
      <c r="H717">
        <v>0.46</v>
      </c>
      <c r="I717">
        <v>0.2</v>
      </c>
      <c r="J717">
        <v>0.08</v>
      </c>
      <c r="K717">
        <v>2.25</v>
      </c>
    </row>
    <row r="718" spans="1:11" x14ac:dyDescent="0.3">
      <c r="A718">
        <v>718</v>
      </c>
      <c r="B718" t="s">
        <v>696</v>
      </c>
      <c r="C718" t="s">
        <v>146</v>
      </c>
      <c r="D718">
        <v>2004</v>
      </c>
      <c r="E718" t="s">
        <v>22</v>
      </c>
      <c r="F718" t="s">
        <v>14</v>
      </c>
      <c r="G718">
        <v>1.48</v>
      </c>
      <c r="H718">
        <v>0.25</v>
      </c>
      <c r="I718">
        <v>0.46</v>
      </c>
      <c r="J718">
        <v>0.06</v>
      </c>
      <c r="K718">
        <v>2.25</v>
      </c>
    </row>
    <row r="719" spans="1:11" x14ac:dyDescent="0.3">
      <c r="A719">
        <v>719</v>
      </c>
      <c r="B719" t="s">
        <v>558</v>
      </c>
      <c r="C719" t="s">
        <v>42</v>
      </c>
      <c r="D719">
        <v>2011</v>
      </c>
      <c r="E719" t="s">
        <v>13</v>
      </c>
      <c r="F719" t="s">
        <v>110</v>
      </c>
      <c r="G719">
        <v>1.93</v>
      </c>
      <c r="H719">
        <v>0.15</v>
      </c>
      <c r="I719">
        <v>0</v>
      </c>
      <c r="J719">
        <v>0.17</v>
      </c>
      <c r="K719">
        <v>2.25</v>
      </c>
    </row>
    <row r="720" spans="1:11" x14ac:dyDescent="0.3">
      <c r="A720">
        <v>720</v>
      </c>
      <c r="B720" t="s">
        <v>542</v>
      </c>
      <c r="C720" t="s">
        <v>12</v>
      </c>
      <c r="D720">
        <v>2009</v>
      </c>
      <c r="E720" t="s">
        <v>22</v>
      </c>
      <c r="F720" t="s">
        <v>14</v>
      </c>
      <c r="G720">
        <v>0.67</v>
      </c>
      <c r="H720">
        <v>0.41</v>
      </c>
      <c r="I720">
        <v>1.05</v>
      </c>
      <c r="J720">
        <v>0.11</v>
      </c>
      <c r="K720">
        <v>2.25</v>
      </c>
    </row>
    <row r="721" spans="1:11" x14ac:dyDescent="0.3">
      <c r="A721">
        <v>721</v>
      </c>
      <c r="B721" t="s">
        <v>697</v>
      </c>
      <c r="C721" t="s">
        <v>129</v>
      </c>
      <c r="D721">
        <v>2008</v>
      </c>
      <c r="E721" t="s">
        <v>72</v>
      </c>
      <c r="F721" t="s">
        <v>191</v>
      </c>
      <c r="G721">
        <v>0.51</v>
      </c>
      <c r="H721">
        <v>0.51</v>
      </c>
      <c r="I721">
        <v>0.91</v>
      </c>
      <c r="J721">
        <v>0.32</v>
      </c>
      <c r="K721">
        <v>2.25</v>
      </c>
    </row>
    <row r="722" spans="1:11" x14ac:dyDescent="0.3">
      <c r="A722">
        <v>722</v>
      </c>
      <c r="B722" t="s">
        <v>698</v>
      </c>
      <c r="C722" t="s">
        <v>55</v>
      </c>
      <c r="D722">
        <v>2001</v>
      </c>
      <c r="E722" t="s">
        <v>2</v>
      </c>
      <c r="F722" t="s">
        <v>121</v>
      </c>
      <c r="G722">
        <v>1.19</v>
      </c>
      <c r="H722">
        <v>0.71</v>
      </c>
      <c r="I722">
        <v>0.22</v>
      </c>
      <c r="J722">
        <v>0.13</v>
      </c>
      <c r="K722">
        <v>2.2400000000000002</v>
      </c>
    </row>
    <row r="723" spans="1:11" x14ac:dyDescent="0.3">
      <c r="A723">
        <v>723</v>
      </c>
      <c r="B723" t="s">
        <v>699</v>
      </c>
      <c r="C723" t="s">
        <v>55</v>
      </c>
      <c r="D723">
        <v>2001</v>
      </c>
      <c r="E723" t="s">
        <v>2</v>
      </c>
      <c r="F723" t="s">
        <v>259</v>
      </c>
      <c r="G723">
        <v>1.29</v>
      </c>
      <c r="H723">
        <v>0.83</v>
      </c>
      <c r="I723">
        <v>0</v>
      </c>
      <c r="J723">
        <v>0.11</v>
      </c>
      <c r="K723">
        <v>2.23</v>
      </c>
    </row>
    <row r="724" spans="1:11" x14ac:dyDescent="0.3">
      <c r="A724">
        <v>724</v>
      </c>
      <c r="B724" t="s">
        <v>700</v>
      </c>
      <c r="C724" t="s">
        <v>16</v>
      </c>
      <c r="D724">
        <v>1990</v>
      </c>
      <c r="E724" t="s">
        <v>43</v>
      </c>
      <c r="F724" t="s">
        <v>183</v>
      </c>
      <c r="G724">
        <v>1.74</v>
      </c>
      <c r="H724">
        <v>0.25</v>
      </c>
      <c r="I724">
        <v>0.21</v>
      </c>
      <c r="J724">
        <v>0.03</v>
      </c>
      <c r="K724">
        <v>2.23</v>
      </c>
    </row>
    <row r="725" spans="1:11" x14ac:dyDescent="0.3">
      <c r="A725">
        <v>725</v>
      </c>
      <c r="B725" t="s">
        <v>350</v>
      </c>
      <c r="C725" t="s">
        <v>26</v>
      </c>
      <c r="D725">
        <v>2008</v>
      </c>
      <c r="E725" t="s">
        <v>43</v>
      </c>
      <c r="F725" t="s">
        <v>61</v>
      </c>
      <c r="G725">
        <v>1.42</v>
      </c>
      <c r="H725">
        <v>0.61</v>
      </c>
      <c r="I725">
        <v>0</v>
      </c>
      <c r="J725">
        <v>0.21</v>
      </c>
      <c r="K725">
        <v>2.23</v>
      </c>
    </row>
    <row r="726" spans="1:11" x14ac:dyDescent="0.3">
      <c r="A726">
        <v>726</v>
      </c>
      <c r="B726" t="s">
        <v>701</v>
      </c>
      <c r="C726" t="s">
        <v>46</v>
      </c>
      <c r="D726">
        <v>2009</v>
      </c>
      <c r="E726" t="s">
        <v>33</v>
      </c>
      <c r="F726" t="s">
        <v>183</v>
      </c>
      <c r="G726">
        <v>1.0900000000000001</v>
      </c>
      <c r="H726">
        <v>0.85</v>
      </c>
      <c r="I726">
        <v>0</v>
      </c>
      <c r="J726">
        <v>0.28000000000000003</v>
      </c>
      <c r="K726">
        <v>2.23</v>
      </c>
    </row>
    <row r="727" spans="1:11" x14ac:dyDescent="0.3">
      <c r="A727">
        <v>727</v>
      </c>
      <c r="B727" t="s">
        <v>702</v>
      </c>
      <c r="C727" t="s">
        <v>148</v>
      </c>
      <c r="D727">
        <v>2013</v>
      </c>
      <c r="E727" t="s">
        <v>2</v>
      </c>
      <c r="F727" t="s">
        <v>14</v>
      </c>
      <c r="G727">
        <v>1.27</v>
      </c>
      <c r="H727">
        <v>0.62</v>
      </c>
      <c r="I727">
        <v>0.18</v>
      </c>
      <c r="J727">
        <v>0.16</v>
      </c>
      <c r="K727">
        <v>2.2200000000000002</v>
      </c>
    </row>
    <row r="728" spans="1:11" x14ac:dyDescent="0.3">
      <c r="A728">
        <v>728</v>
      </c>
      <c r="B728" t="s">
        <v>703</v>
      </c>
      <c r="C728" t="s">
        <v>46</v>
      </c>
      <c r="D728">
        <v>2003</v>
      </c>
      <c r="E728" t="s">
        <v>43</v>
      </c>
      <c r="F728" t="s">
        <v>92</v>
      </c>
      <c r="G728">
        <v>0.88</v>
      </c>
      <c r="H728">
        <v>1.03</v>
      </c>
      <c r="I728">
        <v>0</v>
      </c>
      <c r="J728">
        <v>0.31</v>
      </c>
      <c r="K728">
        <v>2.2200000000000002</v>
      </c>
    </row>
    <row r="729" spans="1:11" x14ac:dyDescent="0.3">
      <c r="A729">
        <v>729</v>
      </c>
      <c r="B729" t="s">
        <v>704</v>
      </c>
      <c r="C729" t="s">
        <v>26</v>
      </c>
      <c r="D729">
        <v>2009</v>
      </c>
      <c r="E729" t="s">
        <v>24</v>
      </c>
      <c r="F729" t="s">
        <v>205</v>
      </c>
      <c r="G729">
        <v>1.71</v>
      </c>
      <c r="H729">
        <v>0.32</v>
      </c>
      <c r="I729">
        <v>0.02</v>
      </c>
      <c r="J729">
        <v>0.18</v>
      </c>
      <c r="K729">
        <v>2.2200000000000002</v>
      </c>
    </row>
    <row r="730" spans="1:11" x14ac:dyDescent="0.3">
      <c r="A730">
        <v>730</v>
      </c>
      <c r="B730" t="s">
        <v>705</v>
      </c>
      <c r="C730" t="s">
        <v>21</v>
      </c>
      <c r="D730">
        <v>1998</v>
      </c>
      <c r="E730" t="s">
        <v>83</v>
      </c>
      <c r="F730" t="s">
        <v>14</v>
      </c>
      <c r="G730">
        <v>1</v>
      </c>
      <c r="H730">
        <v>0.63</v>
      </c>
      <c r="I730">
        <v>0.45</v>
      </c>
      <c r="J730">
        <v>0.13</v>
      </c>
      <c r="K730">
        <v>2.2200000000000002</v>
      </c>
    </row>
    <row r="731" spans="1:11" x14ac:dyDescent="0.3">
      <c r="A731">
        <v>731</v>
      </c>
      <c r="B731" t="s">
        <v>529</v>
      </c>
      <c r="C731" t="s">
        <v>39</v>
      </c>
      <c r="D731">
        <v>2010</v>
      </c>
      <c r="E731" t="s">
        <v>18</v>
      </c>
      <c r="F731" t="s">
        <v>110</v>
      </c>
      <c r="G731">
        <v>1.03</v>
      </c>
      <c r="H731">
        <v>0.98</v>
      </c>
      <c r="I731">
        <v>0</v>
      </c>
      <c r="J731">
        <v>0.21</v>
      </c>
      <c r="K731">
        <v>2.2200000000000002</v>
      </c>
    </row>
    <row r="732" spans="1:11" x14ac:dyDescent="0.3">
      <c r="A732">
        <v>732</v>
      </c>
      <c r="B732" t="s">
        <v>706</v>
      </c>
      <c r="C732" t="s">
        <v>39</v>
      </c>
      <c r="D732">
        <v>2010</v>
      </c>
      <c r="E732" t="s">
        <v>31</v>
      </c>
      <c r="F732" t="s">
        <v>44</v>
      </c>
      <c r="G732">
        <v>1.45</v>
      </c>
      <c r="H732">
        <v>0.55000000000000004</v>
      </c>
      <c r="I732">
        <v>0.02</v>
      </c>
      <c r="J732">
        <v>0.19</v>
      </c>
      <c r="K732">
        <v>2.21</v>
      </c>
    </row>
    <row r="733" spans="1:11" x14ac:dyDescent="0.3">
      <c r="A733">
        <v>733</v>
      </c>
      <c r="B733" t="s">
        <v>334</v>
      </c>
      <c r="C733" t="s">
        <v>140</v>
      </c>
      <c r="D733">
        <v>2013</v>
      </c>
      <c r="E733" t="s">
        <v>43</v>
      </c>
      <c r="F733" t="s">
        <v>92</v>
      </c>
      <c r="G733">
        <v>1.47</v>
      </c>
      <c r="H733">
        <v>0.55000000000000004</v>
      </c>
      <c r="I733">
        <v>0</v>
      </c>
      <c r="J733">
        <v>0.19</v>
      </c>
      <c r="K733">
        <v>2.21</v>
      </c>
    </row>
    <row r="734" spans="1:11" x14ac:dyDescent="0.3">
      <c r="A734">
        <v>734</v>
      </c>
      <c r="B734" t="s">
        <v>707</v>
      </c>
      <c r="C734" t="s">
        <v>46</v>
      </c>
      <c r="D734">
        <v>2006</v>
      </c>
      <c r="E734" t="s">
        <v>43</v>
      </c>
      <c r="F734" t="s">
        <v>175</v>
      </c>
      <c r="G734">
        <v>1.06</v>
      </c>
      <c r="H734">
        <v>0.82</v>
      </c>
      <c r="I734">
        <v>0.05</v>
      </c>
      <c r="J734">
        <v>0.28000000000000003</v>
      </c>
      <c r="K734">
        <v>2.21</v>
      </c>
    </row>
    <row r="735" spans="1:11" x14ac:dyDescent="0.3">
      <c r="A735">
        <v>735</v>
      </c>
      <c r="B735" t="s">
        <v>708</v>
      </c>
      <c r="C735" t="s">
        <v>39</v>
      </c>
      <c r="D735">
        <v>2008</v>
      </c>
      <c r="E735" t="s">
        <v>28</v>
      </c>
      <c r="F735" t="s">
        <v>110</v>
      </c>
      <c r="G735">
        <v>1.78</v>
      </c>
      <c r="H735">
        <v>0.24</v>
      </c>
      <c r="I735">
        <v>0</v>
      </c>
      <c r="J735">
        <v>0.18</v>
      </c>
      <c r="K735">
        <v>2.2000000000000002</v>
      </c>
    </row>
    <row r="736" spans="1:11" x14ac:dyDescent="0.3">
      <c r="A736">
        <v>736</v>
      </c>
      <c r="B736" t="s">
        <v>307</v>
      </c>
      <c r="C736">
        <v>2600</v>
      </c>
      <c r="D736">
        <v>1981</v>
      </c>
      <c r="E736" t="s">
        <v>43</v>
      </c>
      <c r="F736" t="s">
        <v>709</v>
      </c>
      <c r="G736">
        <v>2.06</v>
      </c>
      <c r="H736">
        <v>0.12</v>
      </c>
      <c r="I736">
        <v>0</v>
      </c>
      <c r="J736">
        <v>0.02</v>
      </c>
      <c r="K736">
        <v>2.2000000000000002</v>
      </c>
    </row>
    <row r="737" spans="1:11" x14ac:dyDescent="0.3">
      <c r="A737">
        <v>737</v>
      </c>
      <c r="B737" t="s">
        <v>236</v>
      </c>
      <c r="C737" t="s">
        <v>39</v>
      </c>
      <c r="D737">
        <v>2007</v>
      </c>
      <c r="E737" t="s">
        <v>28</v>
      </c>
      <c r="F737" t="s">
        <v>61</v>
      </c>
      <c r="G737">
        <v>2.0099999999999998</v>
      </c>
      <c r="H737">
        <v>0.02</v>
      </c>
      <c r="I737">
        <v>0</v>
      </c>
      <c r="J737">
        <v>0.17</v>
      </c>
      <c r="K737">
        <v>2.2000000000000002</v>
      </c>
    </row>
    <row r="738" spans="1:11" x14ac:dyDescent="0.3">
      <c r="A738">
        <v>738</v>
      </c>
      <c r="B738" t="s">
        <v>710</v>
      </c>
      <c r="C738" t="s">
        <v>21</v>
      </c>
      <c r="D738">
        <v>2000</v>
      </c>
      <c r="E738" t="s">
        <v>2</v>
      </c>
      <c r="F738" t="s">
        <v>14</v>
      </c>
      <c r="G738">
        <v>1.1100000000000001</v>
      </c>
      <c r="H738">
        <v>0.51</v>
      </c>
      <c r="I738">
        <v>0.34</v>
      </c>
      <c r="J738">
        <v>0.23</v>
      </c>
      <c r="K738">
        <v>2.2000000000000002</v>
      </c>
    </row>
    <row r="739" spans="1:11" x14ac:dyDescent="0.3">
      <c r="A739">
        <v>739</v>
      </c>
      <c r="B739" t="s">
        <v>711</v>
      </c>
      <c r="C739" t="s">
        <v>16</v>
      </c>
      <c r="D739">
        <v>1986</v>
      </c>
      <c r="E739" t="s">
        <v>13</v>
      </c>
      <c r="F739" t="s">
        <v>295</v>
      </c>
      <c r="G739">
        <v>0.15</v>
      </c>
      <c r="H739">
        <v>0</v>
      </c>
      <c r="I739">
        <v>2.0499999999999998</v>
      </c>
      <c r="J739">
        <v>0</v>
      </c>
      <c r="K739">
        <v>2.2000000000000002</v>
      </c>
    </row>
    <row r="740" spans="1:11" x14ac:dyDescent="0.3">
      <c r="A740">
        <v>740</v>
      </c>
      <c r="B740" t="s">
        <v>712</v>
      </c>
      <c r="C740" t="s">
        <v>12</v>
      </c>
      <c r="D740">
        <v>2008</v>
      </c>
      <c r="E740" t="s">
        <v>2</v>
      </c>
      <c r="F740" t="s">
        <v>121</v>
      </c>
      <c r="G740">
        <v>1.28</v>
      </c>
      <c r="H740">
        <v>0.68</v>
      </c>
      <c r="I740">
        <v>0.02</v>
      </c>
      <c r="J740">
        <v>0.21</v>
      </c>
      <c r="K740">
        <v>2.2000000000000002</v>
      </c>
    </row>
    <row r="741" spans="1:11" x14ac:dyDescent="0.3">
      <c r="A741">
        <v>741</v>
      </c>
      <c r="B741" t="s">
        <v>713</v>
      </c>
      <c r="C741" t="s">
        <v>26</v>
      </c>
      <c r="D741">
        <v>2007</v>
      </c>
      <c r="E741" t="s">
        <v>24</v>
      </c>
      <c r="F741" t="s">
        <v>450</v>
      </c>
      <c r="G741">
        <v>1.06</v>
      </c>
      <c r="H741">
        <v>0.91</v>
      </c>
      <c r="I741">
        <v>0</v>
      </c>
      <c r="J741">
        <v>0.23</v>
      </c>
      <c r="K741">
        <v>2.2000000000000002</v>
      </c>
    </row>
    <row r="742" spans="1:11" x14ac:dyDescent="0.3">
      <c r="A742">
        <v>742</v>
      </c>
      <c r="B742" t="s">
        <v>714</v>
      </c>
      <c r="C742" t="s">
        <v>42</v>
      </c>
      <c r="D742">
        <v>2011</v>
      </c>
      <c r="E742" t="s">
        <v>43</v>
      </c>
      <c r="F742" t="s">
        <v>183</v>
      </c>
      <c r="G742">
        <v>0.34</v>
      </c>
      <c r="H742">
        <v>0.97</v>
      </c>
      <c r="I742">
        <v>0.55000000000000004</v>
      </c>
      <c r="J742">
        <v>0.33</v>
      </c>
      <c r="K742">
        <v>2.19</v>
      </c>
    </row>
    <row r="743" spans="1:11" x14ac:dyDescent="0.3">
      <c r="A743">
        <v>743</v>
      </c>
      <c r="B743" t="s">
        <v>715</v>
      </c>
      <c r="C743" t="s">
        <v>39</v>
      </c>
      <c r="D743">
        <v>2006</v>
      </c>
      <c r="E743" t="s">
        <v>43</v>
      </c>
      <c r="F743" t="s">
        <v>384</v>
      </c>
      <c r="G743">
        <v>1.17</v>
      </c>
      <c r="H743">
        <v>0.78</v>
      </c>
      <c r="I743">
        <v>0.02</v>
      </c>
      <c r="J743">
        <v>0.22</v>
      </c>
      <c r="K743">
        <v>2.19</v>
      </c>
    </row>
    <row r="744" spans="1:11" x14ac:dyDescent="0.3">
      <c r="A744">
        <v>744</v>
      </c>
      <c r="B744" t="s">
        <v>716</v>
      </c>
      <c r="C744" t="s">
        <v>113</v>
      </c>
      <c r="D744">
        <v>2003</v>
      </c>
      <c r="E744" t="s">
        <v>22</v>
      </c>
      <c r="F744" t="s">
        <v>61</v>
      </c>
      <c r="G744">
        <v>1.68</v>
      </c>
      <c r="H744">
        <v>0.44</v>
      </c>
      <c r="I744">
        <v>0</v>
      </c>
      <c r="J744">
        <v>0.08</v>
      </c>
      <c r="K744">
        <v>2.19</v>
      </c>
    </row>
    <row r="745" spans="1:11" x14ac:dyDescent="0.3">
      <c r="A745">
        <v>745</v>
      </c>
      <c r="B745" t="s">
        <v>717</v>
      </c>
      <c r="C745" t="s">
        <v>21</v>
      </c>
      <c r="D745">
        <v>1992</v>
      </c>
      <c r="E745" t="s">
        <v>28</v>
      </c>
      <c r="F745" t="s">
        <v>14</v>
      </c>
      <c r="G745">
        <v>0.87</v>
      </c>
      <c r="H745">
        <v>0.17</v>
      </c>
      <c r="I745">
        <v>1.1000000000000001</v>
      </c>
      <c r="J745">
        <v>0.05</v>
      </c>
      <c r="K745">
        <v>2.19</v>
      </c>
    </row>
    <row r="746" spans="1:11" x14ac:dyDescent="0.3">
      <c r="A746">
        <v>746</v>
      </c>
      <c r="B746" t="s">
        <v>102</v>
      </c>
      <c r="C746" t="s">
        <v>21</v>
      </c>
      <c r="D746">
        <v>2000</v>
      </c>
      <c r="E746" t="s">
        <v>2</v>
      </c>
      <c r="F746" t="s">
        <v>14</v>
      </c>
      <c r="G746">
        <v>1.04</v>
      </c>
      <c r="H746">
        <v>0.72</v>
      </c>
      <c r="I746">
        <v>0.3</v>
      </c>
      <c r="J746">
        <v>0.13</v>
      </c>
      <c r="K746">
        <v>2.19</v>
      </c>
    </row>
    <row r="747" spans="1:11" x14ac:dyDescent="0.3">
      <c r="A747">
        <v>747</v>
      </c>
      <c r="B747" t="s">
        <v>718</v>
      </c>
      <c r="C747" t="s">
        <v>42</v>
      </c>
      <c r="D747">
        <v>2012</v>
      </c>
      <c r="E747" t="s">
        <v>43</v>
      </c>
      <c r="F747" t="s">
        <v>191</v>
      </c>
      <c r="G747">
        <v>0.59</v>
      </c>
      <c r="H747">
        <v>1.07</v>
      </c>
      <c r="I747">
        <v>7.0000000000000007E-2</v>
      </c>
      <c r="J747">
        <v>0.45</v>
      </c>
      <c r="K747">
        <v>2.19</v>
      </c>
    </row>
    <row r="748" spans="1:11" x14ac:dyDescent="0.3">
      <c r="A748">
        <v>748</v>
      </c>
      <c r="B748" t="s">
        <v>719</v>
      </c>
      <c r="C748" t="s">
        <v>21</v>
      </c>
      <c r="D748">
        <v>2000</v>
      </c>
      <c r="E748" t="s">
        <v>22</v>
      </c>
      <c r="F748" t="s">
        <v>183</v>
      </c>
      <c r="G748">
        <v>0</v>
      </c>
      <c r="H748">
        <v>0</v>
      </c>
      <c r="I748">
        <v>2.17</v>
      </c>
      <c r="J748">
        <v>0.01</v>
      </c>
      <c r="K748">
        <v>2.1800000000000002</v>
      </c>
    </row>
    <row r="749" spans="1:11" x14ac:dyDescent="0.3">
      <c r="A749">
        <v>749</v>
      </c>
      <c r="B749" t="s">
        <v>720</v>
      </c>
      <c r="C749" t="s">
        <v>46</v>
      </c>
      <c r="D749">
        <v>2002</v>
      </c>
      <c r="E749" t="s">
        <v>18</v>
      </c>
      <c r="F749" t="s">
        <v>384</v>
      </c>
      <c r="G749">
        <v>1.92</v>
      </c>
      <c r="H749">
        <v>0.2</v>
      </c>
      <c r="I749">
        <v>0</v>
      </c>
      <c r="J749">
        <v>0.06</v>
      </c>
      <c r="K749">
        <v>2.1800000000000002</v>
      </c>
    </row>
    <row r="750" spans="1:11" x14ac:dyDescent="0.3">
      <c r="A750">
        <v>750</v>
      </c>
      <c r="B750" t="s">
        <v>721</v>
      </c>
      <c r="C750" t="s">
        <v>140</v>
      </c>
      <c r="D750">
        <v>2013</v>
      </c>
      <c r="E750" t="s">
        <v>18</v>
      </c>
      <c r="F750" t="s">
        <v>40</v>
      </c>
      <c r="G750">
        <v>1.21</v>
      </c>
      <c r="H750">
        <v>0.78</v>
      </c>
      <c r="I750">
        <v>0.01</v>
      </c>
      <c r="J750">
        <v>0.17</v>
      </c>
      <c r="K750">
        <v>2.1800000000000002</v>
      </c>
    </row>
    <row r="751" spans="1:11" x14ac:dyDescent="0.3">
      <c r="A751">
        <v>751</v>
      </c>
      <c r="B751" t="s">
        <v>722</v>
      </c>
      <c r="C751" t="s">
        <v>39</v>
      </c>
      <c r="D751">
        <v>2013</v>
      </c>
      <c r="E751" t="s">
        <v>13</v>
      </c>
      <c r="F751" t="s">
        <v>110</v>
      </c>
      <c r="G751">
        <v>1.97</v>
      </c>
      <c r="H751">
        <v>7.0000000000000007E-2</v>
      </c>
      <c r="I751">
        <v>0</v>
      </c>
      <c r="J751">
        <v>0.13</v>
      </c>
      <c r="K751">
        <v>2.1800000000000002</v>
      </c>
    </row>
    <row r="752" spans="1:11" x14ac:dyDescent="0.3">
      <c r="A752">
        <v>752</v>
      </c>
      <c r="B752" t="s">
        <v>723</v>
      </c>
      <c r="C752" t="s">
        <v>26</v>
      </c>
      <c r="D752">
        <v>2006</v>
      </c>
      <c r="E752" t="s">
        <v>22</v>
      </c>
      <c r="F752" t="s">
        <v>14</v>
      </c>
      <c r="G752">
        <v>1.29</v>
      </c>
      <c r="H752">
        <v>0.04</v>
      </c>
      <c r="I752">
        <v>0.73</v>
      </c>
      <c r="J752">
        <v>0.12</v>
      </c>
      <c r="K752">
        <v>2.1800000000000002</v>
      </c>
    </row>
    <row r="753" spans="1:11" x14ac:dyDescent="0.3">
      <c r="A753">
        <v>753</v>
      </c>
      <c r="B753" t="s">
        <v>724</v>
      </c>
      <c r="C753" t="s">
        <v>55</v>
      </c>
      <c r="D753">
        <v>2003</v>
      </c>
      <c r="E753" t="s">
        <v>22</v>
      </c>
      <c r="F753" t="s">
        <v>14</v>
      </c>
      <c r="G753">
        <v>1.48</v>
      </c>
      <c r="H753">
        <v>0.17</v>
      </c>
      <c r="I753">
        <v>0.47</v>
      </c>
      <c r="J753">
        <v>0.06</v>
      </c>
      <c r="K753">
        <v>2.17</v>
      </c>
    </row>
    <row r="754" spans="1:11" x14ac:dyDescent="0.3">
      <c r="A754">
        <v>754</v>
      </c>
      <c r="B754" t="s">
        <v>214</v>
      </c>
      <c r="C754" t="s">
        <v>39</v>
      </c>
      <c r="D754">
        <v>2010</v>
      </c>
      <c r="E754" t="s">
        <v>22</v>
      </c>
      <c r="F754" t="s">
        <v>191</v>
      </c>
      <c r="G754">
        <v>1.27</v>
      </c>
      <c r="H754">
        <v>0.68</v>
      </c>
      <c r="I754">
        <v>0.01</v>
      </c>
      <c r="J754">
        <v>0.2</v>
      </c>
      <c r="K754">
        <v>2.17</v>
      </c>
    </row>
    <row r="755" spans="1:11" x14ac:dyDescent="0.3">
      <c r="A755">
        <v>755</v>
      </c>
      <c r="B755" t="s">
        <v>725</v>
      </c>
      <c r="C755" t="s">
        <v>78</v>
      </c>
      <c r="D755">
        <v>1998</v>
      </c>
      <c r="E755" t="s">
        <v>33</v>
      </c>
      <c r="F755" t="s">
        <v>14</v>
      </c>
      <c r="G755">
        <v>1.6</v>
      </c>
      <c r="H755">
        <v>0.46</v>
      </c>
      <c r="I755">
        <v>0.08</v>
      </c>
      <c r="J755">
        <v>0.03</v>
      </c>
      <c r="K755">
        <v>2.17</v>
      </c>
    </row>
    <row r="756" spans="1:11" x14ac:dyDescent="0.3">
      <c r="A756">
        <v>756</v>
      </c>
      <c r="B756" t="s">
        <v>726</v>
      </c>
      <c r="C756" t="s">
        <v>16</v>
      </c>
      <c r="D756">
        <v>1984</v>
      </c>
      <c r="E756" t="s">
        <v>13</v>
      </c>
      <c r="F756" t="s">
        <v>14</v>
      </c>
      <c r="G756">
        <v>0.48</v>
      </c>
      <c r="H756">
        <v>0.11</v>
      </c>
      <c r="I756">
        <v>1.56</v>
      </c>
      <c r="J756">
        <v>0.02</v>
      </c>
      <c r="K756">
        <v>2.17</v>
      </c>
    </row>
    <row r="757" spans="1:11" x14ac:dyDescent="0.3">
      <c r="A757">
        <v>757</v>
      </c>
      <c r="B757" t="s">
        <v>727</v>
      </c>
      <c r="C757" t="s">
        <v>118</v>
      </c>
      <c r="D757">
        <v>2001</v>
      </c>
      <c r="E757" t="s">
        <v>33</v>
      </c>
      <c r="F757" t="s">
        <v>110</v>
      </c>
      <c r="G757">
        <v>1.23</v>
      </c>
      <c r="H757">
        <v>0.83</v>
      </c>
      <c r="I757">
        <v>0</v>
      </c>
      <c r="J757">
        <v>0.1</v>
      </c>
      <c r="K757">
        <v>2.16</v>
      </c>
    </row>
    <row r="758" spans="1:11" x14ac:dyDescent="0.3">
      <c r="A758">
        <v>758</v>
      </c>
      <c r="B758" t="s">
        <v>728</v>
      </c>
      <c r="C758" t="s">
        <v>12</v>
      </c>
      <c r="D758">
        <v>2009</v>
      </c>
      <c r="E758" t="s">
        <v>13</v>
      </c>
      <c r="F758" t="s">
        <v>92</v>
      </c>
      <c r="G758">
        <v>1.51</v>
      </c>
      <c r="H758">
        <v>0.47</v>
      </c>
      <c r="I758">
        <v>0</v>
      </c>
      <c r="J758">
        <v>0.18</v>
      </c>
      <c r="K758">
        <v>2.16</v>
      </c>
    </row>
    <row r="759" spans="1:11" x14ac:dyDescent="0.3">
      <c r="A759">
        <v>759</v>
      </c>
      <c r="B759" t="s">
        <v>729</v>
      </c>
      <c r="C759" t="s">
        <v>86</v>
      </c>
      <c r="D759">
        <v>2000</v>
      </c>
      <c r="E759" t="s">
        <v>31</v>
      </c>
      <c r="F759" t="s">
        <v>59</v>
      </c>
      <c r="G759">
        <v>1.5</v>
      </c>
      <c r="H759">
        <v>0.55000000000000004</v>
      </c>
      <c r="I759">
        <v>0.02</v>
      </c>
      <c r="J759">
        <v>0.08</v>
      </c>
      <c r="K759">
        <v>2.15</v>
      </c>
    </row>
    <row r="760" spans="1:11" x14ac:dyDescent="0.3">
      <c r="A760">
        <v>760</v>
      </c>
      <c r="B760" t="s">
        <v>730</v>
      </c>
      <c r="C760" t="s">
        <v>67</v>
      </c>
      <c r="D760">
        <v>2015</v>
      </c>
      <c r="E760" t="s">
        <v>31</v>
      </c>
      <c r="F760" t="s">
        <v>92</v>
      </c>
      <c r="G760">
        <v>0.54</v>
      </c>
      <c r="H760">
        <v>1.1599999999999999</v>
      </c>
      <c r="I760">
        <v>0.13</v>
      </c>
      <c r="J760">
        <v>0.32</v>
      </c>
      <c r="K760">
        <v>2.15</v>
      </c>
    </row>
    <row r="761" spans="1:11" x14ac:dyDescent="0.3">
      <c r="A761">
        <v>761</v>
      </c>
      <c r="B761" t="s">
        <v>731</v>
      </c>
      <c r="C761" t="s">
        <v>16</v>
      </c>
      <c r="D761">
        <v>1987</v>
      </c>
      <c r="E761" t="s">
        <v>13</v>
      </c>
      <c r="F761" t="s">
        <v>14</v>
      </c>
      <c r="G761">
        <v>0.14000000000000001</v>
      </c>
      <c r="H761">
        <v>0.03</v>
      </c>
      <c r="I761">
        <v>1.98</v>
      </c>
      <c r="J761">
        <v>0</v>
      </c>
      <c r="K761">
        <v>2.15</v>
      </c>
    </row>
    <row r="762" spans="1:11" x14ac:dyDescent="0.3">
      <c r="A762">
        <v>762</v>
      </c>
      <c r="B762" t="s">
        <v>164</v>
      </c>
      <c r="C762" t="s">
        <v>140</v>
      </c>
      <c r="D762">
        <v>2014</v>
      </c>
      <c r="E762" t="s">
        <v>13</v>
      </c>
      <c r="F762" t="s">
        <v>110</v>
      </c>
      <c r="G762">
        <v>0.6</v>
      </c>
      <c r="H762">
        <v>1.41</v>
      </c>
      <c r="I762">
        <v>0</v>
      </c>
      <c r="J762">
        <v>0.14000000000000001</v>
      </c>
      <c r="K762">
        <v>2.15</v>
      </c>
    </row>
    <row r="763" spans="1:11" x14ac:dyDescent="0.3">
      <c r="A763">
        <v>763</v>
      </c>
      <c r="B763" t="s">
        <v>732</v>
      </c>
      <c r="C763" t="s">
        <v>129</v>
      </c>
      <c r="D763">
        <v>2007</v>
      </c>
      <c r="E763" t="s">
        <v>31</v>
      </c>
      <c r="F763" t="s">
        <v>61</v>
      </c>
      <c r="G763">
        <v>0.52</v>
      </c>
      <c r="H763">
        <v>1.03</v>
      </c>
      <c r="I763">
        <v>0</v>
      </c>
      <c r="J763">
        <v>0.59</v>
      </c>
      <c r="K763">
        <v>2.14</v>
      </c>
    </row>
    <row r="764" spans="1:11" x14ac:dyDescent="0.3">
      <c r="A764">
        <v>764</v>
      </c>
      <c r="B764" t="s">
        <v>733</v>
      </c>
      <c r="C764" t="s">
        <v>48</v>
      </c>
      <c r="D764">
        <v>1996</v>
      </c>
      <c r="E764" t="s">
        <v>22</v>
      </c>
      <c r="F764" t="s">
        <v>14</v>
      </c>
      <c r="G764">
        <v>0.66</v>
      </c>
      <c r="H764">
        <v>0</v>
      </c>
      <c r="I764">
        <v>1.45</v>
      </c>
      <c r="J764">
        <v>0.03</v>
      </c>
      <c r="K764">
        <v>2.14</v>
      </c>
    </row>
    <row r="765" spans="1:11" x14ac:dyDescent="0.3">
      <c r="A765">
        <v>765</v>
      </c>
      <c r="B765" t="s">
        <v>734</v>
      </c>
      <c r="C765" t="s">
        <v>16</v>
      </c>
      <c r="D765">
        <v>1983</v>
      </c>
      <c r="E765" t="s">
        <v>28</v>
      </c>
      <c r="F765" t="s">
        <v>14</v>
      </c>
      <c r="G765">
        <v>0.01</v>
      </c>
      <c r="H765">
        <v>0</v>
      </c>
      <c r="I765">
        <v>2.13</v>
      </c>
      <c r="J765">
        <v>0</v>
      </c>
      <c r="K765">
        <v>2.14</v>
      </c>
    </row>
    <row r="766" spans="1:11" x14ac:dyDescent="0.3">
      <c r="A766">
        <v>766</v>
      </c>
      <c r="B766" t="s">
        <v>735</v>
      </c>
      <c r="C766" t="s">
        <v>16</v>
      </c>
      <c r="D766">
        <v>1988</v>
      </c>
      <c r="E766" t="s">
        <v>18</v>
      </c>
      <c r="F766" t="s">
        <v>14</v>
      </c>
      <c r="G766">
        <v>1.47</v>
      </c>
      <c r="H766">
        <v>0.38</v>
      </c>
      <c r="I766">
        <v>0.19</v>
      </c>
      <c r="J766">
        <v>0.1</v>
      </c>
      <c r="K766">
        <v>2.14</v>
      </c>
    </row>
    <row r="767" spans="1:11" x14ac:dyDescent="0.3">
      <c r="A767">
        <v>767</v>
      </c>
      <c r="B767" t="s">
        <v>736</v>
      </c>
      <c r="C767" t="s">
        <v>118</v>
      </c>
      <c r="D767">
        <v>1992</v>
      </c>
      <c r="E767" t="s">
        <v>33</v>
      </c>
      <c r="F767" t="s">
        <v>737</v>
      </c>
      <c r="G767">
        <v>1.2</v>
      </c>
      <c r="H767">
        <v>0.84</v>
      </c>
      <c r="I767">
        <v>0</v>
      </c>
      <c r="J767">
        <v>0.1</v>
      </c>
      <c r="K767">
        <v>2.14</v>
      </c>
    </row>
    <row r="768" spans="1:11" x14ac:dyDescent="0.3">
      <c r="A768">
        <v>768</v>
      </c>
      <c r="B768" t="s">
        <v>738</v>
      </c>
      <c r="C768">
        <v>2600</v>
      </c>
      <c r="D768">
        <v>1981</v>
      </c>
      <c r="E768" t="s">
        <v>31</v>
      </c>
      <c r="F768" t="s">
        <v>739</v>
      </c>
      <c r="G768">
        <v>1.99</v>
      </c>
      <c r="H768">
        <v>0.12</v>
      </c>
      <c r="I768">
        <v>0</v>
      </c>
      <c r="J768">
        <v>0.02</v>
      </c>
      <c r="K768">
        <v>2.13</v>
      </c>
    </row>
    <row r="769" spans="1:11" x14ac:dyDescent="0.3">
      <c r="A769">
        <v>769</v>
      </c>
      <c r="B769" t="s">
        <v>740</v>
      </c>
      <c r="C769" t="s">
        <v>46</v>
      </c>
      <c r="D769">
        <v>2004</v>
      </c>
      <c r="E769" t="s">
        <v>33</v>
      </c>
      <c r="F769" t="s">
        <v>183</v>
      </c>
      <c r="G769">
        <v>1.04</v>
      </c>
      <c r="H769">
        <v>0.81</v>
      </c>
      <c r="I769">
        <v>0</v>
      </c>
      <c r="J769">
        <v>0.27</v>
      </c>
      <c r="K769">
        <v>2.13</v>
      </c>
    </row>
    <row r="770" spans="1:11" x14ac:dyDescent="0.3">
      <c r="A770">
        <v>770</v>
      </c>
      <c r="B770" t="s">
        <v>741</v>
      </c>
      <c r="C770" t="s">
        <v>26</v>
      </c>
      <c r="D770">
        <v>2006</v>
      </c>
      <c r="E770" t="s">
        <v>24</v>
      </c>
      <c r="F770" t="s">
        <v>14</v>
      </c>
      <c r="G770">
        <v>0.64</v>
      </c>
      <c r="H770">
        <v>7.0000000000000007E-2</v>
      </c>
      <c r="I770">
        <v>1.35</v>
      </c>
      <c r="J770">
        <v>0.08</v>
      </c>
      <c r="K770">
        <v>2.13</v>
      </c>
    </row>
    <row r="771" spans="1:11" x14ac:dyDescent="0.3">
      <c r="A771">
        <v>771</v>
      </c>
      <c r="B771" t="s">
        <v>742</v>
      </c>
      <c r="C771" t="s">
        <v>55</v>
      </c>
      <c r="D771">
        <v>2003</v>
      </c>
      <c r="E771" t="s">
        <v>22</v>
      </c>
      <c r="F771" t="s">
        <v>124</v>
      </c>
      <c r="G771">
        <v>0.82</v>
      </c>
      <c r="H771">
        <v>0.37</v>
      </c>
      <c r="I771">
        <v>0.89</v>
      </c>
      <c r="J771">
        <v>0.05</v>
      </c>
      <c r="K771">
        <v>2.13</v>
      </c>
    </row>
    <row r="772" spans="1:11" x14ac:dyDescent="0.3">
      <c r="A772">
        <v>772</v>
      </c>
      <c r="B772" t="s">
        <v>743</v>
      </c>
      <c r="C772" t="s">
        <v>67</v>
      </c>
      <c r="D772">
        <v>2016</v>
      </c>
      <c r="E772" t="s">
        <v>43</v>
      </c>
      <c r="F772" t="s">
        <v>92</v>
      </c>
      <c r="G772">
        <v>0.59</v>
      </c>
      <c r="H772">
        <v>1.1599999999999999</v>
      </c>
      <c r="I772">
        <v>0.06</v>
      </c>
      <c r="J772">
        <v>0.33</v>
      </c>
      <c r="K772">
        <v>2.13</v>
      </c>
    </row>
    <row r="773" spans="1:11" x14ac:dyDescent="0.3">
      <c r="A773">
        <v>773</v>
      </c>
      <c r="B773" t="s">
        <v>744</v>
      </c>
      <c r="C773" t="s">
        <v>26</v>
      </c>
      <c r="D773">
        <v>2010</v>
      </c>
      <c r="E773" t="s">
        <v>43</v>
      </c>
      <c r="F773" t="s">
        <v>450</v>
      </c>
      <c r="G773">
        <v>0.93</v>
      </c>
      <c r="H773">
        <v>0.97</v>
      </c>
      <c r="I773">
        <v>0.02</v>
      </c>
      <c r="J773">
        <v>0.21</v>
      </c>
      <c r="K773">
        <v>2.12</v>
      </c>
    </row>
    <row r="774" spans="1:11" x14ac:dyDescent="0.3">
      <c r="A774">
        <v>774</v>
      </c>
      <c r="B774" t="s">
        <v>407</v>
      </c>
      <c r="C774" t="s">
        <v>26</v>
      </c>
      <c r="D774">
        <v>2006</v>
      </c>
      <c r="E774" t="s">
        <v>22</v>
      </c>
      <c r="F774" t="s">
        <v>191</v>
      </c>
      <c r="G774">
        <v>0.91</v>
      </c>
      <c r="H774">
        <v>0.05</v>
      </c>
      <c r="I774">
        <v>1.07</v>
      </c>
      <c r="J774">
        <v>0.09</v>
      </c>
      <c r="K774">
        <v>2.12</v>
      </c>
    </row>
    <row r="775" spans="1:11" x14ac:dyDescent="0.3">
      <c r="A775">
        <v>775</v>
      </c>
      <c r="B775" t="s">
        <v>745</v>
      </c>
      <c r="C775" t="s">
        <v>12</v>
      </c>
      <c r="D775">
        <v>2010</v>
      </c>
      <c r="E775" t="s">
        <v>2</v>
      </c>
      <c r="F775" t="s">
        <v>14</v>
      </c>
      <c r="G775">
        <v>1.47</v>
      </c>
      <c r="H775">
        <v>0.09</v>
      </c>
      <c r="I775">
        <v>0.45</v>
      </c>
      <c r="J775">
        <v>0.11</v>
      </c>
      <c r="K775">
        <v>2.12</v>
      </c>
    </row>
    <row r="776" spans="1:11" x14ac:dyDescent="0.3">
      <c r="A776">
        <v>776</v>
      </c>
      <c r="B776" t="s">
        <v>746</v>
      </c>
      <c r="C776" t="s">
        <v>113</v>
      </c>
      <c r="D776">
        <v>2001</v>
      </c>
      <c r="E776" t="s">
        <v>18</v>
      </c>
      <c r="F776" t="s">
        <v>40</v>
      </c>
      <c r="G776">
        <v>1.37</v>
      </c>
      <c r="H776">
        <v>0.61</v>
      </c>
      <c r="I776">
        <v>0.05</v>
      </c>
      <c r="J776">
        <v>0.09</v>
      </c>
      <c r="K776">
        <v>2.12</v>
      </c>
    </row>
    <row r="777" spans="1:11" x14ac:dyDescent="0.3">
      <c r="A777">
        <v>777</v>
      </c>
      <c r="B777" t="s">
        <v>326</v>
      </c>
      <c r="C777" t="s">
        <v>21</v>
      </c>
      <c r="D777">
        <v>1989</v>
      </c>
      <c r="E777" t="s">
        <v>13</v>
      </c>
      <c r="F777" t="s">
        <v>14</v>
      </c>
      <c r="G777">
        <v>0.83</v>
      </c>
      <c r="H777">
        <v>0.33</v>
      </c>
      <c r="I777">
        <v>0.92</v>
      </c>
      <c r="J777">
        <v>0.04</v>
      </c>
      <c r="K777">
        <v>2.12</v>
      </c>
    </row>
    <row r="778" spans="1:11" x14ac:dyDescent="0.3">
      <c r="A778">
        <v>778</v>
      </c>
      <c r="B778" t="s">
        <v>582</v>
      </c>
      <c r="C778" t="s">
        <v>42</v>
      </c>
      <c r="D778">
        <v>2011</v>
      </c>
      <c r="E778" t="s">
        <v>13</v>
      </c>
      <c r="F778" t="s">
        <v>44</v>
      </c>
      <c r="G778">
        <v>1.61</v>
      </c>
      <c r="H778">
        <v>0.27</v>
      </c>
      <c r="I778">
        <v>0.05</v>
      </c>
      <c r="J778">
        <v>0.18</v>
      </c>
      <c r="K778">
        <v>2.11</v>
      </c>
    </row>
    <row r="779" spans="1:11" x14ac:dyDescent="0.3">
      <c r="A779">
        <v>779</v>
      </c>
      <c r="B779" t="s">
        <v>403</v>
      </c>
      <c r="C779" t="s">
        <v>42</v>
      </c>
      <c r="D779">
        <v>2009</v>
      </c>
      <c r="E779" t="s">
        <v>31</v>
      </c>
      <c r="F779" t="s">
        <v>44</v>
      </c>
      <c r="G779">
        <v>1.2</v>
      </c>
      <c r="H779">
        <v>0.62</v>
      </c>
      <c r="I779">
        <v>0</v>
      </c>
      <c r="J779">
        <v>0.28999999999999998</v>
      </c>
      <c r="K779">
        <v>2.11</v>
      </c>
    </row>
    <row r="780" spans="1:11" x14ac:dyDescent="0.3">
      <c r="A780">
        <v>780</v>
      </c>
      <c r="B780" t="s">
        <v>242</v>
      </c>
      <c r="C780" t="s">
        <v>78</v>
      </c>
      <c r="D780">
        <v>2000</v>
      </c>
      <c r="E780" t="s">
        <v>13</v>
      </c>
      <c r="F780" t="s">
        <v>61</v>
      </c>
      <c r="G780">
        <v>1.68</v>
      </c>
      <c r="H780">
        <v>0.4</v>
      </c>
      <c r="I780">
        <v>0</v>
      </c>
      <c r="J780">
        <v>0.03</v>
      </c>
      <c r="K780">
        <v>2.11</v>
      </c>
    </row>
    <row r="781" spans="1:11" x14ac:dyDescent="0.3">
      <c r="A781">
        <v>781</v>
      </c>
      <c r="B781" t="s">
        <v>611</v>
      </c>
      <c r="C781" t="s">
        <v>42</v>
      </c>
      <c r="D781">
        <v>2008</v>
      </c>
      <c r="E781" t="s">
        <v>13</v>
      </c>
      <c r="F781" t="s">
        <v>183</v>
      </c>
      <c r="G781">
        <v>0.11</v>
      </c>
      <c r="H781">
        <v>1.34</v>
      </c>
      <c r="I781">
        <v>0.4</v>
      </c>
      <c r="J781">
        <v>0.26</v>
      </c>
      <c r="K781">
        <v>2.11</v>
      </c>
    </row>
    <row r="782" spans="1:11" x14ac:dyDescent="0.3">
      <c r="A782">
        <v>782</v>
      </c>
      <c r="B782" t="s">
        <v>747</v>
      </c>
      <c r="C782" t="s">
        <v>46</v>
      </c>
      <c r="D782">
        <v>2002</v>
      </c>
      <c r="E782" t="s">
        <v>18</v>
      </c>
      <c r="F782" t="s">
        <v>110</v>
      </c>
      <c r="G782">
        <v>1.68</v>
      </c>
      <c r="H782">
        <v>0.31</v>
      </c>
      <c r="I782">
        <v>0.02</v>
      </c>
      <c r="J782">
        <v>0.09</v>
      </c>
      <c r="K782">
        <v>2.11</v>
      </c>
    </row>
    <row r="783" spans="1:11" x14ac:dyDescent="0.3">
      <c r="A783">
        <v>783</v>
      </c>
      <c r="B783" t="s">
        <v>748</v>
      </c>
      <c r="C783" t="s">
        <v>12</v>
      </c>
      <c r="D783">
        <v>2010</v>
      </c>
      <c r="E783" t="s">
        <v>13</v>
      </c>
      <c r="F783" t="s">
        <v>14</v>
      </c>
      <c r="G783">
        <v>0.9</v>
      </c>
      <c r="H783">
        <v>0.45</v>
      </c>
      <c r="I783">
        <v>0.63</v>
      </c>
      <c r="J783">
        <v>0.13</v>
      </c>
      <c r="K783">
        <v>2.11</v>
      </c>
    </row>
    <row r="784" spans="1:11" x14ac:dyDescent="0.3">
      <c r="A784">
        <v>784</v>
      </c>
      <c r="B784" t="s">
        <v>619</v>
      </c>
      <c r="C784" t="s">
        <v>12</v>
      </c>
      <c r="D784" t="s">
        <v>224</v>
      </c>
      <c r="E784" t="s">
        <v>28</v>
      </c>
      <c r="F784" t="s">
        <v>444</v>
      </c>
      <c r="G784">
        <v>1.35</v>
      </c>
      <c r="H784">
        <v>0.56000000000000005</v>
      </c>
      <c r="I784">
        <v>0</v>
      </c>
      <c r="J784">
        <v>0.2</v>
      </c>
      <c r="K784">
        <v>2.11</v>
      </c>
    </row>
    <row r="785" spans="1:11" x14ac:dyDescent="0.3">
      <c r="A785">
        <v>785</v>
      </c>
      <c r="B785" t="s">
        <v>749</v>
      </c>
      <c r="C785" t="s">
        <v>46</v>
      </c>
      <c r="D785">
        <v>2003</v>
      </c>
      <c r="E785" t="s">
        <v>43</v>
      </c>
      <c r="F785" t="s">
        <v>750</v>
      </c>
      <c r="G785">
        <v>0.63</v>
      </c>
      <c r="H785">
        <v>0.21</v>
      </c>
      <c r="I785">
        <v>1.1299999999999999</v>
      </c>
      <c r="J785">
        <v>0.13</v>
      </c>
      <c r="K785">
        <v>2.11</v>
      </c>
    </row>
    <row r="786" spans="1:11" x14ac:dyDescent="0.3">
      <c r="A786">
        <v>786</v>
      </c>
      <c r="B786" t="s">
        <v>516</v>
      </c>
      <c r="C786" t="s">
        <v>39</v>
      </c>
      <c r="D786">
        <v>2011</v>
      </c>
      <c r="E786" t="s">
        <v>72</v>
      </c>
      <c r="F786" t="s">
        <v>205</v>
      </c>
      <c r="G786">
        <v>1.63</v>
      </c>
      <c r="H786">
        <v>0.33</v>
      </c>
      <c r="I786">
        <v>0</v>
      </c>
      <c r="J786">
        <v>0.15</v>
      </c>
      <c r="K786">
        <v>2.11</v>
      </c>
    </row>
    <row r="787" spans="1:11" x14ac:dyDescent="0.3">
      <c r="A787">
        <v>787</v>
      </c>
      <c r="B787" t="s">
        <v>751</v>
      </c>
      <c r="C787" t="s">
        <v>86</v>
      </c>
      <c r="D787">
        <v>1998</v>
      </c>
      <c r="E787" t="s">
        <v>22</v>
      </c>
      <c r="F787" t="s">
        <v>124</v>
      </c>
      <c r="G787">
        <v>0.94</v>
      </c>
      <c r="H787">
        <v>7.0000000000000007E-2</v>
      </c>
      <c r="I787">
        <v>1.05</v>
      </c>
      <c r="J787">
        <v>0.04</v>
      </c>
      <c r="K787">
        <v>2.1</v>
      </c>
    </row>
    <row r="788" spans="1:11" x14ac:dyDescent="0.3">
      <c r="A788">
        <v>788</v>
      </c>
      <c r="B788" t="s">
        <v>752</v>
      </c>
      <c r="C788" t="s">
        <v>46</v>
      </c>
      <c r="D788">
        <v>2002</v>
      </c>
      <c r="E788" t="s">
        <v>2</v>
      </c>
      <c r="F788" t="s">
        <v>384</v>
      </c>
      <c r="G788">
        <v>1.17</v>
      </c>
      <c r="H788">
        <v>0.72</v>
      </c>
      <c r="I788">
        <v>0</v>
      </c>
      <c r="J788">
        <v>0.22</v>
      </c>
      <c r="K788">
        <v>2.1</v>
      </c>
    </row>
    <row r="789" spans="1:11" x14ac:dyDescent="0.3">
      <c r="A789">
        <v>789</v>
      </c>
      <c r="B789" t="s">
        <v>753</v>
      </c>
      <c r="C789" t="s">
        <v>113</v>
      </c>
      <c r="D789">
        <v>2002</v>
      </c>
      <c r="E789" t="s">
        <v>43</v>
      </c>
      <c r="F789" t="s">
        <v>40</v>
      </c>
      <c r="G789">
        <v>1.54</v>
      </c>
      <c r="H789">
        <v>0.44</v>
      </c>
      <c r="I789">
        <v>0.04</v>
      </c>
      <c r="J789">
        <v>7.0000000000000007E-2</v>
      </c>
      <c r="K789">
        <v>2.1</v>
      </c>
    </row>
    <row r="790" spans="1:11" x14ac:dyDescent="0.3">
      <c r="A790">
        <v>790</v>
      </c>
      <c r="B790" t="s">
        <v>754</v>
      </c>
      <c r="C790" t="s">
        <v>129</v>
      </c>
      <c r="D790">
        <v>2005</v>
      </c>
      <c r="E790" t="s">
        <v>18</v>
      </c>
      <c r="F790" t="s">
        <v>110</v>
      </c>
      <c r="G790">
        <v>1.77</v>
      </c>
      <c r="H790">
        <v>0.13</v>
      </c>
      <c r="I790">
        <v>0.02</v>
      </c>
      <c r="J790">
        <v>0.18</v>
      </c>
      <c r="K790">
        <v>2.1</v>
      </c>
    </row>
    <row r="791" spans="1:11" x14ac:dyDescent="0.3">
      <c r="A791">
        <v>791</v>
      </c>
      <c r="B791" t="s">
        <v>755</v>
      </c>
      <c r="C791" t="s">
        <v>39</v>
      </c>
      <c r="D791">
        <v>2011</v>
      </c>
      <c r="E791" t="s">
        <v>31</v>
      </c>
      <c r="F791" t="s">
        <v>756</v>
      </c>
      <c r="G791">
        <v>1.41</v>
      </c>
      <c r="H791">
        <v>0.51</v>
      </c>
      <c r="I791">
        <v>0.01</v>
      </c>
      <c r="J791">
        <v>0.17</v>
      </c>
      <c r="K791">
        <v>2.1</v>
      </c>
    </row>
    <row r="792" spans="1:11" x14ac:dyDescent="0.3">
      <c r="A792">
        <v>792</v>
      </c>
      <c r="B792" t="s">
        <v>757</v>
      </c>
      <c r="C792" t="s">
        <v>46</v>
      </c>
      <c r="D792">
        <v>2005</v>
      </c>
      <c r="E792" t="s">
        <v>43</v>
      </c>
      <c r="F792" t="s">
        <v>175</v>
      </c>
      <c r="G792">
        <v>0.99</v>
      </c>
      <c r="H792">
        <v>0.63</v>
      </c>
      <c r="I792">
        <v>0.28999999999999998</v>
      </c>
      <c r="J792">
        <v>0.19</v>
      </c>
      <c r="K792">
        <v>2.09</v>
      </c>
    </row>
    <row r="793" spans="1:11" x14ac:dyDescent="0.3">
      <c r="A793">
        <v>793</v>
      </c>
      <c r="B793" t="s">
        <v>758</v>
      </c>
      <c r="C793" t="s">
        <v>86</v>
      </c>
      <c r="D793">
        <v>1997</v>
      </c>
      <c r="E793" t="s">
        <v>13</v>
      </c>
      <c r="F793" t="s">
        <v>759</v>
      </c>
      <c r="G793">
        <v>0</v>
      </c>
      <c r="H793">
        <v>0</v>
      </c>
      <c r="I793">
        <v>1.96</v>
      </c>
      <c r="J793">
        <v>0.14000000000000001</v>
      </c>
      <c r="K793">
        <v>2.09</v>
      </c>
    </row>
    <row r="794" spans="1:11" x14ac:dyDescent="0.3">
      <c r="A794">
        <v>794</v>
      </c>
      <c r="B794" t="s">
        <v>760</v>
      </c>
      <c r="C794" t="s">
        <v>39</v>
      </c>
      <c r="D794">
        <v>2006</v>
      </c>
      <c r="E794" t="s">
        <v>43</v>
      </c>
      <c r="F794" t="s">
        <v>175</v>
      </c>
      <c r="G794">
        <v>1.1599999999999999</v>
      </c>
      <c r="H794">
        <v>0.65</v>
      </c>
      <c r="I794">
        <v>0.08</v>
      </c>
      <c r="J794">
        <v>0.2</v>
      </c>
      <c r="K794">
        <v>2.09</v>
      </c>
    </row>
    <row r="795" spans="1:11" x14ac:dyDescent="0.3">
      <c r="A795">
        <v>795</v>
      </c>
      <c r="B795" t="s">
        <v>526</v>
      </c>
      <c r="C795" t="s">
        <v>46</v>
      </c>
      <c r="D795">
        <v>2003</v>
      </c>
      <c r="E795" t="s">
        <v>43</v>
      </c>
      <c r="F795" t="s">
        <v>384</v>
      </c>
      <c r="G795">
        <v>1.26</v>
      </c>
      <c r="H795">
        <v>0.6</v>
      </c>
      <c r="I795">
        <v>0.05</v>
      </c>
      <c r="J795">
        <v>0.18</v>
      </c>
      <c r="K795">
        <v>2.09</v>
      </c>
    </row>
    <row r="796" spans="1:11" x14ac:dyDescent="0.3">
      <c r="A796">
        <v>796</v>
      </c>
      <c r="B796" t="s">
        <v>761</v>
      </c>
      <c r="C796" t="s">
        <v>39</v>
      </c>
      <c r="D796">
        <v>2010</v>
      </c>
      <c r="E796" t="s">
        <v>43</v>
      </c>
      <c r="F796" t="s">
        <v>44</v>
      </c>
      <c r="G796">
        <v>1.84</v>
      </c>
      <c r="H796">
        <v>0.12</v>
      </c>
      <c r="I796">
        <v>0.01</v>
      </c>
      <c r="J796">
        <v>0.13</v>
      </c>
      <c r="K796">
        <v>2.09</v>
      </c>
    </row>
    <row r="797" spans="1:11" x14ac:dyDescent="0.3">
      <c r="A797">
        <v>797</v>
      </c>
      <c r="B797" t="s">
        <v>762</v>
      </c>
      <c r="C797" t="s">
        <v>12</v>
      </c>
      <c r="D797">
        <v>2009</v>
      </c>
      <c r="E797" t="s">
        <v>28</v>
      </c>
      <c r="F797" t="s">
        <v>763</v>
      </c>
      <c r="G797">
        <v>1.97</v>
      </c>
      <c r="H797">
        <v>0</v>
      </c>
      <c r="I797">
        <v>0</v>
      </c>
      <c r="J797">
        <v>0.12</v>
      </c>
      <c r="K797">
        <v>2.09</v>
      </c>
    </row>
    <row r="798" spans="1:11" x14ac:dyDescent="0.3">
      <c r="A798">
        <v>798</v>
      </c>
      <c r="B798" t="s">
        <v>764</v>
      </c>
      <c r="C798" t="s">
        <v>26</v>
      </c>
      <c r="D798">
        <v>2006</v>
      </c>
      <c r="E798" t="s">
        <v>33</v>
      </c>
      <c r="F798" t="s">
        <v>110</v>
      </c>
      <c r="G798">
        <v>0.92</v>
      </c>
      <c r="H798">
        <v>0.94</v>
      </c>
      <c r="I798">
        <v>0</v>
      </c>
      <c r="J798">
        <v>0.22</v>
      </c>
      <c r="K798">
        <v>2.09</v>
      </c>
    </row>
    <row r="799" spans="1:11" x14ac:dyDescent="0.3">
      <c r="A799">
        <v>799</v>
      </c>
      <c r="B799" t="s">
        <v>765</v>
      </c>
      <c r="C799" t="s">
        <v>67</v>
      </c>
      <c r="D799">
        <v>2015</v>
      </c>
      <c r="E799" t="s">
        <v>31</v>
      </c>
      <c r="F799" t="s">
        <v>110</v>
      </c>
      <c r="G799">
        <v>0.7</v>
      </c>
      <c r="H799">
        <v>0.93</v>
      </c>
      <c r="I799">
        <v>0.14000000000000001</v>
      </c>
      <c r="J799">
        <v>0.32</v>
      </c>
      <c r="K799">
        <v>2.09</v>
      </c>
    </row>
    <row r="800" spans="1:11" x14ac:dyDescent="0.3">
      <c r="A800">
        <v>800</v>
      </c>
      <c r="B800" t="s">
        <v>766</v>
      </c>
      <c r="C800" t="s">
        <v>129</v>
      </c>
      <c r="D800">
        <v>2010</v>
      </c>
      <c r="E800" t="s">
        <v>43</v>
      </c>
      <c r="F800" t="s">
        <v>183</v>
      </c>
      <c r="G800">
        <v>0.46</v>
      </c>
      <c r="H800">
        <v>0.42</v>
      </c>
      <c r="I800">
        <v>0.96</v>
      </c>
      <c r="J800">
        <v>0.25</v>
      </c>
      <c r="K800">
        <v>2.09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1C984-4C13-4F09-9937-958F9A9C5818}">
  <dimension ref="A1:F7"/>
  <sheetViews>
    <sheetView workbookViewId="0">
      <selection activeCell="C7" sqref="C7"/>
    </sheetView>
  </sheetViews>
  <sheetFormatPr defaultRowHeight="14.4" x14ac:dyDescent="0.3"/>
  <cols>
    <col min="1" max="1" width="18.21875" bestFit="1" customWidth="1"/>
    <col min="2" max="2" width="14.5546875" bestFit="1" customWidth="1"/>
    <col min="3" max="3" width="17.6640625" bestFit="1" customWidth="1"/>
    <col min="4" max="4" width="15.33203125" bestFit="1" customWidth="1"/>
    <col min="5" max="5" width="15.109375" bestFit="1" customWidth="1"/>
  </cols>
  <sheetData>
    <row r="1" spans="1:6" x14ac:dyDescent="0.3">
      <c r="A1" t="s">
        <v>769</v>
      </c>
      <c r="B1" t="s">
        <v>771</v>
      </c>
      <c r="C1" t="s">
        <v>772</v>
      </c>
      <c r="D1" t="s">
        <v>767</v>
      </c>
      <c r="E1" t="s">
        <v>770</v>
      </c>
    </row>
    <row r="2" spans="1:6" x14ac:dyDescent="0.3">
      <c r="A2" s="5">
        <v>316.58999999999992</v>
      </c>
      <c r="B2" s="5">
        <v>35.189999999999991</v>
      </c>
      <c r="C2" s="5">
        <v>36.380000000000003</v>
      </c>
      <c r="D2" s="5">
        <v>143.20999999999998</v>
      </c>
      <c r="E2" s="5">
        <v>101.83999999999996</v>
      </c>
    </row>
    <row r="5" spans="1:6" x14ac:dyDescent="0.3">
      <c r="A5" s="1" t="s">
        <v>773</v>
      </c>
      <c r="B5" s="1" t="s">
        <v>774</v>
      </c>
      <c r="C5" s="1" t="s">
        <v>775</v>
      </c>
      <c r="D5" s="1" t="s">
        <v>776</v>
      </c>
      <c r="E5" s="1" t="s">
        <v>777</v>
      </c>
    </row>
    <row r="6" spans="1:6" x14ac:dyDescent="0.3">
      <c r="A6" s="7">
        <f>A2</f>
        <v>316.58999999999992</v>
      </c>
      <c r="B6" s="8">
        <f>B2</f>
        <v>35.189999999999991</v>
      </c>
      <c r="C6" s="8">
        <f>C2</f>
        <v>36.380000000000003</v>
      </c>
      <c r="D6" s="8">
        <f>D2</f>
        <v>143.20999999999998</v>
      </c>
      <c r="E6" s="8">
        <f>E2</f>
        <v>101.83999999999996</v>
      </c>
    </row>
    <row r="7" spans="1:6" x14ac:dyDescent="0.3">
      <c r="B7" s="2">
        <f>B6/$A$6</f>
        <v>0.11115322657064342</v>
      </c>
      <c r="C7" s="2">
        <f>C6/$A$6</f>
        <v>0.11491203133390193</v>
      </c>
      <c r="D7" s="2">
        <f>D6/$A$6</f>
        <v>0.45235162197163531</v>
      </c>
      <c r="E7" s="2">
        <f>E6/$A$6</f>
        <v>0.32167787990776708</v>
      </c>
      <c r="F7" s="1" t="s">
        <v>778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945-53DD-44EC-825B-3314097A6C26}">
  <dimension ref="A3:G144"/>
  <sheetViews>
    <sheetView topLeftCell="A141" zoomScale="91" zoomScaleNormal="101" workbookViewId="0">
      <selection activeCell="L32" sqref="L32"/>
    </sheetView>
  </sheetViews>
  <sheetFormatPr defaultRowHeight="14.4" x14ac:dyDescent="0.3"/>
  <cols>
    <col min="1" max="1" width="28" bestFit="1" customWidth="1"/>
    <col min="2" max="2" width="15.33203125" bestFit="1" customWidth="1"/>
    <col min="3" max="3" width="38.77734375" customWidth="1"/>
    <col min="4" max="4" width="15.33203125" customWidth="1"/>
    <col min="5" max="5" width="14.77734375" customWidth="1"/>
    <col min="6" max="6" width="18.109375" customWidth="1"/>
    <col min="7" max="7" width="14.5546875" bestFit="1" customWidth="1"/>
    <col min="8" max="9" width="5.44140625" bestFit="1" customWidth="1"/>
    <col min="10" max="10" width="4.33203125" bestFit="1" customWidth="1"/>
    <col min="11" max="16" width="5.44140625" bestFit="1" customWidth="1"/>
    <col min="17" max="17" width="4.33203125" bestFit="1" customWidth="1"/>
    <col min="18" max="20" width="5.44140625" bestFit="1" customWidth="1"/>
    <col min="21" max="21" width="4.33203125" bestFit="1" customWidth="1"/>
    <col min="22" max="24" width="5.44140625" bestFit="1" customWidth="1"/>
    <col min="25" max="25" width="4.33203125" bestFit="1" customWidth="1"/>
    <col min="26" max="29" width="5.44140625" bestFit="1" customWidth="1"/>
    <col min="30" max="30" width="4.33203125" bestFit="1" customWidth="1"/>
    <col min="31" max="36" width="5.44140625" bestFit="1" customWidth="1"/>
    <col min="37" max="37" width="4.33203125" bestFit="1" customWidth="1"/>
    <col min="38" max="46" width="5.44140625" bestFit="1" customWidth="1"/>
    <col min="47" max="47" width="4.33203125" bestFit="1" customWidth="1"/>
    <col min="48" max="53" width="5.44140625" bestFit="1" customWidth="1"/>
    <col min="54" max="54" width="4.33203125" bestFit="1" customWidth="1"/>
    <col min="55" max="63" width="5.44140625" bestFit="1" customWidth="1"/>
    <col min="64" max="64" width="4.33203125" bestFit="1" customWidth="1"/>
    <col min="65" max="72" width="5.44140625" bestFit="1" customWidth="1"/>
    <col min="73" max="73" width="2.109375" bestFit="1" customWidth="1"/>
    <col min="74" max="91" width="5.44140625" bestFit="1" customWidth="1"/>
    <col min="92" max="92" width="4.33203125" bestFit="1" customWidth="1"/>
    <col min="93" max="101" width="5.44140625" bestFit="1" customWidth="1"/>
    <col min="102" max="102" width="4.33203125" bestFit="1" customWidth="1"/>
    <col min="103" max="111" width="5.44140625" bestFit="1" customWidth="1"/>
    <col min="112" max="112" width="4.33203125" bestFit="1" customWidth="1"/>
    <col min="113" max="121" width="5.44140625" bestFit="1" customWidth="1"/>
    <col min="122" max="122" width="4.33203125" bestFit="1" customWidth="1"/>
    <col min="123" max="131" width="5.44140625" bestFit="1" customWidth="1"/>
    <col min="132" max="132" width="4.33203125" bestFit="1" customWidth="1"/>
    <col min="133" max="139" width="5.44140625" bestFit="1" customWidth="1"/>
    <col min="140" max="140" width="6.44140625" bestFit="1" customWidth="1"/>
    <col min="141" max="141" width="5.44140625" bestFit="1" customWidth="1"/>
    <col min="142" max="142" width="4.33203125" bestFit="1" customWidth="1"/>
    <col min="143" max="149" width="5.44140625" bestFit="1" customWidth="1"/>
    <col min="150" max="150" width="6.44140625" bestFit="1" customWidth="1"/>
    <col min="151" max="160" width="5.44140625" bestFit="1" customWidth="1"/>
    <col min="161" max="161" width="4.33203125" bestFit="1" customWidth="1"/>
    <col min="162" max="168" width="5.44140625" bestFit="1" customWidth="1"/>
    <col min="169" max="169" width="6.44140625" bestFit="1" customWidth="1"/>
    <col min="170" max="170" width="5.44140625" bestFit="1" customWidth="1"/>
    <col min="171" max="171" width="2.109375" bestFit="1" customWidth="1"/>
    <col min="172" max="173" width="5.44140625" bestFit="1" customWidth="1"/>
    <col min="174" max="174" width="6.44140625" bestFit="1" customWidth="1"/>
    <col min="175" max="180" width="5.44140625" bestFit="1" customWidth="1"/>
    <col min="181" max="181" width="4.33203125" bestFit="1" customWidth="1"/>
    <col min="182" max="189" width="5.44140625" bestFit="1" customWidth="1"/>
    <col min="190" max="190" width="4.33203125" bestFit="1" customWidth="1"/>
    <col min="191" max="197" width="5.44140625" bestFit="1" customWidth="1"/>
    <col min="198" max="198" width="4.33203125" bestFit="1" customWidth="1"/>
    <col min="199" max="205" width="5.44140625" bestFit="1" customWidth="1"/>
    <col min="206" max="206" width="4.33203125" bestFit="1" customWidth="1"/>
    <col min="207" max="213" width="5.44140625" bestFit="1" customWidth="1"/>
    <col min="214" max="214" width="4.33203125" bestFit="1" customWidth="1"/>
    <col min="215" max="223" width="5.44140625" bestFit="1" customWidth="1"/>
    <col min="224" max="224" width="4.33203125" bestFit="1" customWidth="1"/>
    <col min="225" max="230" width="5.44140625" bestFit="1" customWidth="1"/>
    <col min="231" max="231" width="4.33203125" bestFit="1" customWidth="1"/>
    <col min="232" max="232" width="6.44140625" bestFit="1" customWidth="1"/>
    <col min="233" max="238" width="5.44140625" bestFit="1" customWidth="1"/>
    <col min="239" max="239" width="4.33203125" bestFit="1" customWidth="1"/>
    <col min="240" max="243" width="5.44140625" bestFit="1" customWidth="1"/>
    <col min="244" max="244" width="4.33203125" bestFit="1" customWidth="1"/>
    <col min="245" max="250" width="5.44140625" bestFit="1" customWidth="1"/>
    <col min="251" max="251" width="2.109375" bestFit="1" customWidth="1"/>
    <col min="252" max="256" width="5.44140625" bestFit="1" customWidth="1"/>
    <col min="257" max="257" width="4.33203125" bestFit="1" customWidth="1"/>
    <col min="258" max="273" width="5.44140625" bestFit="1" customWidth="1"/>
    <col min="274" max="274" width="4.33203125" bestFit="1" customWidth="1"/>
    <col min="275" max="277" width="5.44140625" bestFit="1" customWidth="1"/>
    <col min="278" max="278" width="4.33203125" bestFit="1" customWidth="1"/>
    <col min="279" max="283" width="5.44140625" bestFit="1" customWidth="1"/>
    <col min="284" max="284" width="6.44140625" bestFit="1" customWidth="1"/>
    <col min="285" max="285" width="5.44140625" bestFit="1" customWidth="1"/>
    <col min="286" max="286" width="4.33203125" bestFit="1" customWidth="1"/>
    <col min="287" max="289" width="5.44140625" bestFit="1" customWidth="1"/>
    <col min="290" max="290" width="4.33203125" bestFit="1" customWidth="1"/>
    <col min="291" max="295" width="5.44140625" bestFit="1" customWidth="1"/>
    <col min="296" max="296" width="2.109375" bestFit="1" customWidth="1"/>
    <col min="297" max="301" width="5.44140625" bestFit="1" customWidth="1"/>
    <col min="302" max="302" width="4.33203125" bestFit="1" customWidth="1"/>
    <col min="303" max="311" width="5.44140625" bestFit="1" customWidth="1"/>
    <col min="312" max="312" width="4.33203125" bestFit="1" customWidth="1"/>
    <col min="313" max="332" width="5.44140625" bestFit="1" customWidth="1"/>
    <col min="333" max="333" width="4.33203125" bestFit="1" customWidth="1"/>
    <col min="334" max="340" width="5.44140625" bestFit="1" customWidth="1"/>
    <col min="341" max="341" width="6.44140625" bestFit="1" customWidth="1"/>
    <col min="342" max="358" width="5.44140625" bestFit="1" customWidth="1"/>
    <col min="359" max="359" width="2.109375" bestFit="1" customWidth="1"/>
    <col min="360" max="367" width="5.44140625" bestFit="1" customWidth="1"/>
    <col min="368" max="376" width="6.44140625" bestFit="1" customWidth="1"/>
    <col min="377" max="377" width="5.44140625" bestFit="1" customWidth="1"/>
    <col min="378" max="380" width="6.44140625" bestFit="1" customWidth="1"/>
    <col min="381" max="381" width="11.109375" bestFit="1" customWidth="1"/>
    <col min="382" max="388" width="6.44140625" bestFit="1" customWidth="1"/>
    <col min="389" max="389" width="5.44140625" bestFit="1" customWidth="1"/>
    <col min="390" max="399" width="6.44140625" bestFit="1" customWidth="1"/>
    <col min="400" max="400" width="5.44140625" bestFit="1" customWidth="1"/>
    <col min="401" max="401" width="6.44140625" bestFit="1" customWidth="1"/>
    <col min="402" max="402" width="5.44140625" bestFit="1" customWidth="1"/>
    <col min="403" max="403" width="6.44140625" bestFit="1" customWidth="1"/>
    <col min="404" max="404" width="5.44140625" bestFit="1" customWidth="1"/>
    <col min="405" max="412" width="6.44140625" bestFit="1" customWidth="1"/>
    <col min="413" max="413" width="5.44140625" bestFit="1" customWidth="1"/>
    <col min="414" max="416" width="6.44140625" bestFit="1" customWidth="1"/>
    <col min="417" max="417" width="15.77734375" bestFit="1" customWidth="1"/>
    <col min="418" max="418" width="5.44140625" bestFit="1" customWidth="1"/>
    <col min="419" max="419" width="6.44140625" bestFit="1" customWidth="1"/>
    <col min="420" max="445" width="5.44140625" bestFit="1" customWidth="1"/>
    <col min="446" max="446" width="6.44140625" bestFit="1" customWidth="1"/>
    <col min="447" max="485" width="5.44140625" bestFit="1" customWidth="1"/>
    <col min="486" max="486" width="6.44140625" bestFit="1" customWidth="1"/>
    <col min="487" max="608" width="5.44140625" bestFit="1" customWidth="1"/>
    <col min="609" max="609" width="6.44140625" bestFit="1" customWidth="1"/>
    <col min="610" max="627" width="5.44140625" bestFit="1" customWidth="1"/>
    <col min="628" max="628" width="4.33203125" bestFit="1" customWidth="1"/>
    <col min="629" max="658" width="5.44140625" bestFit="1" customWidth="1"/>
    <col min="659" max="659" width="6.44140625" bestFit="1" customWidth="1"/>
    <col min="660" max="696" width="5.44140625" bestFit="1" customWidth="1"/>
    <col min="697" max="697" width="6.44140625" bestFit="1" customWidth="1"/>
    <col min="698" max="740" width="5.44140625" bestFit="1" customWidth="1"/>
    <col min="741" max="741" width="4.33203125" bestFit="1" customWidth="1"/>
    <col min="742" max="770" width="5.44140625" bestFit="1" customWidth="1"/>
    <col min="771" max="786" width="6.44140625" bestFit="1" customWidth="1"/>
    <col min="787" max="787" width="5.44140625" bestFit="1" customWidth="1"/>
    <col min="788" max="793" width="6.44140625" bestFit="1" customWidth="1"/>
    <col min="794" max="794" width="5.44140625" bestFit="1" customWidth="1"/>
    <col min="795" max="803" width="6.44140625" bestFit="1" customWidth="1"/>
    <col min="804" max="804" width="5.44140625" bestFit="1" customWidth="1"/>
    <col min="805" max="814" width="6.44140625" bestFit="1" customWidth="1"/>
    <col min="815" max="815" width="5.44140625" bestFit="1" customWidth="1"/>
    <col min="816" max="816" width="6.44140625" bestFit="1" customWidth="1"/>
    <col min="817" max="817" width="5.44140625" bestFit="1" customWidth="1"/>
    <col min="818" max="818" width="6.44140625" bestFit="1" customWidth="1"/>
    <col min="819" max="819" width="5.44140625" bestFit="1" customWidth="1"/>
    <col min="820" max="831" width="6.44140625" bestFit="1" customWidth="1"/>
    <col min="832" max="832" width="18.109375" bestFit="1" customWidth="1"/>
    <col min="833" max="970" width="5.44140625" bestFit="1" customWidth="1"/>
    <col min="971" max="971" width="4.33203125" bestFit="1" customWidth="1"/>
    <col min="972" max="1185" width="5.44140625" bestFit="1" customWidth="1"/>
    <col min="1186" max="1201" width="6.44140625" bestFit="1" customWidth="1"/>
    <col min="1202" max="1202" width="5.44140625" bestFit="1" customWidth="1"/>
    <col min="1203" max="1208" width="6.44140625" bestFit="1" customWidth="1"/>
    <col min="1209" max="1209" width="5.44140625" bestFit="1" customWidth="1"/>
    <col min="1210" max="1218" width="6.44140625" bestFit="1" customWidth="1"/>
    <col min="1219" max="1219" width="5.44140625" bestFit="1" customWidth="1"/>
    <col min="1220" max="1229" width="6.44140625" bestFit="1" customWidth="1"/>
    <col min="1230" max="1230" width="5.44140625" bestFit="1" customWidth="1"/>
    <col min="1231" max="1231" width="6.44140625" bestFit="1" customWidth="1"/>
    <col min="1232" max="1232" width="5.44140625" bestFit="1" customWidth="1"/>
    <col min="1233" max="1233" width="6.44140625" bestFit="1" customWidth="1"/>
    <col min="1234" max="1234" width="5.44140625" bestFit="1" customWidth="1"/>
    <col min="1235" max="1242" width="6.44140625" bestFit="1" customWidth="1"/>
    <col min="1243" max="1243" width="5.44140625" bestFit="1" customWidth="1"/>
    <col min="1244" max="1246" width="6.44140625" bestFit="1" customWidth="1"/>
    <col min="1247" max="1247" width="19.6640625" bestFit="1" customWidth="1"/>
    <col min="1248" max="1248" width="20.6640625" bestFit="1" customWidth="1"/>
    <col min="1249" max="1249" width="23.109375" bestFit="1" customWidth="1"/>
  </cols>
  <sheetData>
    <row r="3" spans="1:2" x14ac:dyDescent="0.3">
      <c r="A3" s="3" t="s">
        <v>779</v>
      </c>
      <c r="B3" t="s">
        <v>769</v>
      </c>
    </row>
    <row r="4" spans="1:2" x14ac:dyDescent="0.3">
      <c r="A4" s="4" t="s">
        <v>384</v>
      </c>
      <c r="B4" s="5">
        <v>2.1800000000000002</v>
      </c>
    </row>
    <row r="5" spans="1:2" x14ac:dyDescent="0.3">
      <c r="A5" s="4" t="s">
        <v>450</v>
      </c>
      <c r="B5" s="5">
        <v>2.48</v>
      </c>
    </row>
    <row r="6" spans="1:2" x14ac:dyDescent="0.3">
      <c r="A6" s="4" t="s">
        <v>416</v>
      </c>
      <c r="B6" s="5">
        <v>2.52</v>
      </c>
    </row>
    <row r="7" spans="1:2" x14ac:dyDescent="0.3">
      <c r="A7" s="4" t="s">
        <v>259</v>
      </c>
      <c r="B7" s="5">
        <v>4.7</v>
      </c>
    </row>
    <row r="8" spans="1:2" x14ac:dyDescent="0.3">
      <c r="A8" s="4" t="s">
        <v>513</v>
      </c>
      <c r="B8" s="5">
        <v>5.15</v>
      </c>
    </row>
    <row r="9" spans="1:2" x14ac:dyDescent="0.3">
      <c r="A9" s="4" t="s">
        <v>44</v>
      </c>
      <c r="B9" s="5">
        <v>11.09</v>
      </c>
    </row>
    <row r="10" spans="1:2" x14ac:dyDescent="0.3">
      <c r="A10" s="4" t="s">
        <v>40</v>
      </c>
      <c r="B10" s="5">
        <v>18.509999999999998</v>
      </c>
    </row>
    <row r="11" spans="1:2" x14ac:dyDescent="0.3">
      <c r="A11" s="4" t="s">
        <v>110</v>
      </c>
      <c r="B11" s="5">
        <v>54.519999999999996</v>
      </c>
    </row>
    <row r="12" spans="1:2" x14ac:dyDescent="0.3">
      <c r="A12" s="4" t="s">
        <v>59</v>
      </c>
      <c r="B12" s="5">
        <v>82.47999999999999</v>
      </c>
    </row>
    <row r="13" spans="1:2" x14ac:dyDescent="0.3">
      <c r="A13" s="4" t="s">
        <v>14</v>
      </c>
      <c r="B13" s="5">
        <v>132.95999999999998</v>
      </c>
    </row>
    <row r="14" spans="1:2" x14ac:dyDescent="0.3">
      <c r="A14" s="4" t="s">
        <v>780</v>
      </c>
      <c r="B14" s="5">
        <v>316.58999999999997</v>
      </c>
    </row>
    <row r="22" spans="1:2" x14ac:dyDescent="0.3">
      <c r="A22" s="3" t="s">
        <v>779</v>
      </c>
      <c r="B22" t="s">
        <v>769</v>
      </c>
    </row>
    <row r="23" spans="1:2" x14ac:dyDescent="0.3">
      <c r="A23" s="4" t="s">
        <v>85</v>
      </c>
      <c r="B23" s="5">
        <v>10.95</v>
      </c>
    </row>
    <row r="24" spans="1:2" x14ac:dyDescent="0.3">
      <c r="A24" s="4" t="s">
        <v>100</v>
      </c>
      <c r="B24" s="5">
        <v>9.49</v>
      </c>
    </row>
    <row r="25" spans="1:2" x14ac:dyDescent="0.3">
      <c r="A25" s="4" t="s">
        <v>58</v>
      </c>
      <c r="B25" s="5">
        <v>14.98</v>
      </c>
    </row>
    <row r="26" spans="1:2" x14ac:dyDescent="0.3">
      <c r="A26" s="4" t="s">
        <v>79</v>
      </c>
      <c r="B26" s="5">
        <v>11.66</v>
      </c>
    </row>
    <row r="27" spans="1:2" x14ac:dyDescent="0.3">
      <c r="A27" s="4" t="s">
        <v>88</v>
      </c>
      <c r="B27" s="5">
        <v>10.77</v>
      </c>
    </row>
    <row r="28" spans="1:2" x14ac:dyDescent="0.3">
      <c r="A28" s="4" t="s">
        <v>95</v>
      </c>
      <c r="B28" s="5">
        <v>9.8699999999999992</v>
      </c>
    </row>
    <row r="29" spans="1:2" x14ac:dyDescent="0.3">
      <c r="A29" s="4" t="s">
        <v>74</v>
      </c>
      <c r="B29" s="5">
        <v>12.21</v>
      </c>
    </row>
    <row r="30" spans="1:2" x14ac:dyDescent="0.3">
      <c r="A30" s="4" t="s">
        <v>34</v>
      </c>
      <c r="B30" s="5">
        <v>23.42</v>
      </c>
    </row>
    <row r="31" spans="1:2" x14ac:dyDescent="0.3">
      <c r="A31" s="4" t="s">
        <v>17</v>
      </c>
      <c r="B31" s="5">
        <v>35.82</v>
      </c>
    </row>
    <row r="32" spans="1:2" x14ac:dyDescent="0.3">
      <c r="A32" s="4" t="s">
        <v>153</v>
      </c>
      <c r="B32" s="5">
        <v>9.18</v>
      </c>
    </row>
    <row r="33" spans="1:2" x14ac:dyDescent="0.3">
      <c r="A33" s="4" t="s">
        <v>780</v>
      </c>
      <c r="B33" s="5">
        <v>148.35000000000002</v>
      </c>
    </row>
    <row r="39" spans="1:2" x14ac:dyDescent="0.3">
      <c r="A39" s="3" t="s">
        <v>779</v>
      </c>
      <c r="B39" t="s">
        <v>769</v>
      </c>
    </row>
    <row r="40" spans="1:2" x14ac:dyDescent="0.3">
      <c r="A40" s="4">
        <v>1996</v>
      </c>
      <c r="B40" s="5">
        <v>15.25</v>
      </c>
    </row>
    <row r="41" spans="1:2" x14ac:dyDescent="0.3">
      <c r="A41" s="4">
        <v>1997</v>
      </c>
      <c r="B41" s="5">
        <v>18.11</v>
      </c>
    </row>
    <row r="42" spans="1:2" x14ac:dyDescent="0.3">
      <c r="A42" s="4">
        <v>1998</v>
      </c>
      <c r="B42" s="5">
        <v>5.99</v>
      </c>
    </row>
    <row r="43" spans="1:2" x14ac:dyDescent="0.3">
      <c r="A43" s="4">
        <v>1999</v>
      </c>
      <c r="B43" s="5">
        <v>19.71</v>
      </c>
    </row>
    <row r="44" spans="1:2" x14ac:dyDescent="0.3">
      <c r="A44" s="4">
        <v>2000</v>
      </c>
      <c r="B44" s="5">
        <v>2.63</v>
      </c>
    </row>
    <row r="45" spans="1:2" x14ac:dyDescent="0.3">
      <c r="A45" s="4">
        <v>2001</v>
      </c>
      <c r="B45" s="5">
        <v>31.11</v>
      </c>
    </row>
    <row r="46" spans="1:2" x14ac:dyDescent="0.3">
      <c r="A46" s="4">
        <v>2002</v>
      </c>
      <c r="B46" s="5">
        <v>4.29</v>
      </c>
    </row>
    <row r="47" spans="1:2" x14ac:dyDescent="0.3">
      <c r="A47" s="4">
        <v>2003</v>
      </c>
      <c r="B47" s="5">
        <v>18.850000000000001</v>
      </c>
    </row>
    <row r="48" spans="1:2" x14ac:dyDescent="0.3">
      <c r="A48" s="4">
        <v>2004</v>
      </c>
      <c r="B48" s="5">
        <v>23.52</v>
      </c>
    </row>
    <row r="49" spans="1:2" x14ac:dyDescent="0.3">
      <c r="A49" s="4">
        <v>2005</v>
      </c>
      <c r="B49" s="5">
        <v>33.550000000000004</v>
      </c>
    </row>
    <row r="50" spans="1:2" x14ac:dyDescent="0.3">
      <c r="A50" s="4">
        <v>2006</v>
      </c>
      <c r="B50" s="5">
        <v>6.32</v>
      </c>
    </row>
    <row r="51" spans="1:2" x14ac:dyDescent="0.3">
      <c r="A51" s="4">
        <v>2007</v>
      </c>
      <c r="B51" s="5">
        <v>10.67</v>
      </c>
    </row>
    <row r="52" spans="1:2" x14ac:dyDescent="0.3">
      <c r="A52" s="4">
        <v>2008</v>
      </c>
      <c r="B52" s="5">
        <v>43.1</v>
      </c>
    </row>
    <row r="53" spans="1:2" x14ac:dyDescent="0.3">
      <c r="A53" s="4">
        <v>2009</v>
      </c>
      <c r="B53" s="5">
        <v>11.46</v>
      </c>
    </row>
    <row r="54" spans="1:2" x14ac:dyDescent="0.3">
      <c r="A54" s="4">
        <v>2010</v>
      </c>
      <c r="B54" s="5">
        <v>15.8</v>
      </c>
    </row>
    <row r="55" spans="1:2" x14ac:dyDescent="0.3">
      <c r="A55" s="4">
        <v>2011</v>
      </c>
      <c r="B55" s="5">
        <v>16.850000000000001</v>
      </c>
    </row>
    <row r="56" spans="1:2" x14ac:dyDescent="0.3">
      <c r="A56" s="4">
        <v>2012</v>
      </c>
      <c r="B56" s="5">
        <v>2.89</v>
      </c>
    </row>
    <row r="57" spans="1:2" x14ac:dyDescent="0.3">
      <c r="A57" s="4">
        <v>2013</v>
      </c>
      <c r="B57" s="5">
        <v>5.82</v>
      </c>
    </row>
    <row r="58" spans="1:2" x14ac:dyDescent="0.3">
      <c r="A58" s="4">
        <v>2014</v>
      </c>
      <c r="B58" s="5">
        <v>6.96</v>
      </c>
    </row>
    <row r="59" spans="1:2" x14ac:dyDescent="0.3">
      <c r="A59" s="4">
        <v>2015</v>
      </c>
      <c r="B59" s="5">
        <v>2.39</v>
      </c>
    </row>
    <row r="60" spans="1:2" x14ac:dyDescent="0.3">
      <c r="A60" s="4" t="s">
        <v>780</v>
      </c>
      <c r="B60" s="5">
        <v>295.27</v>
      </c>
    </row>
    <row r="81" spans="1:2" x14ac:dyDescent="0.3">
      <c r="A81" s="3" t="s">
        <v>779</v>
      </c>
      <c r="B81" t="s">
        <v>767</v>
      </c>
    </row>
    <row r="82" spans="1:2" x14ac:dyDescent="0.3">
      <c r="A82" s="4" t="s">
        <v>85</v>
      </c>
      <c r="B82" s="5">
        <v>4.0199999999999996</v>
      </c>
    </row>
    <row r="83" spans="1:2" x14ac:dyDescent="0.3">
      <c r="A83" s="4" t="s">
        <v>100</v>
      </c>
      <c r="B83" s="5">
        <v>3.88</v>
      </c>
    </row>
    <row r="84" spans="1:2" x14ac:dyDescent="0.3">
      <c r="A84" s="4" t="s">
        <v>58</v>
      </c>
      <c r="B84" s="5">
        <v>6.85</v>
      </c>
    </row>
    <row r="85" spans="1:2" x14ac:dyDescent="0.3">
      <c r="A85" s="4" t="s">
        <v>95</v>
      </c>
      <c r="B85" s="5">
        <v>5.55</v>
      </c>
    </row>
    <row r="86" spans="1:2" x14ac:dyDescent="0.3">
      <c r="A86" s="4" t="s">
        <v>74</v>
      </c>
      <c r="B86" s="5">
        <v>4.74</v>
      </c>
    </row>
    <row r="87" spans="1:2" x14ac:dyDescent="0.3">
      <c r="A87" s="4" t="s">
        <v>34</v>
      </c>
      <c r="B87" s="5">
        <v>9.81</v>
      </c>
    </row>
    <row r="88" spans="1:2" x14ac:dyDescent="0.3">
      <c r="A88" s="4" t="s">
        <v>17</v>
      </c>
      <c r="B88" s="5">
        <v>15.85</v>
      </c>
    </row>
    <row r="89" spans="1:2" x14ac:dyDescent="0.3">
      <c r="A89" s="4" t="s">
        <v>150</v>
      </c>
      <c r="B89" s="5">
        <v>4.12</v>
      </c>
    </row>
    <row r="90" spans="1:2" x14ac:dyDescent="0.3">
      <c r="A90" s="4" t="s">
        <v>153</v>
      </c>
      <c r="B90" s="5">
        <v>4.09</v>
      </c>
    </row>
    <row r="91" spans="1:2" x14ac:dyDescent="0.3">
      <c r="A91" s="4" t="s">
        <v>108</v>
      </c>
      <c r="B91" s="5">
        <v>3.54</v>
      </c>
    </row>
    <row r="92" spans="1:2" x14ac:dyDescent="0.3">
      <c r="A92" s="4" t="s">
        <v>780</v>
      </c>
      <c r="B92" s="5">
        <v>62.449999999999996</v>
      </c>
    </row>
    <row r="97" spans="1:2" x14ac:dyDescent="0.3">
      <c r="A97" s="3" t="s">
        <v>779</v>
      </c>
      <c r="B97" t="s">
        <v>770</v>
      </c>
    </row>
    <row r="98" spans="1:2" x14ac:dyDescent="0.3">
      <c r="A98" s="4" t="s">
        <v>85</v>
      </c>
      <c r="B98" s="5">
        <v>3.87</v>
      </c>
    </row>
    <row r="99" spans="1:2" x14ac:dyDescent="0.3">
      <c r="A99" s="4" t="s">
        <v>100</v>
      </c>
      <c r="B99" s="5">
        <v>3.42</v>
      </c>
    </row>
    <row r="100" spans="1:2" x14ac:dyDescent="0.3">
      <c r="A100" s="4" t="s">
        <v>58</v>
      </c>
      <c r="B100" s="5">
        <v>5.09</v>
      </c>
    </row>
    <row r="101" spans="1:2" x14ac:dyDescent="0.3">
      <c r="A101" s="4" t="s">
        <v>88</v>
      </c>
      <c r="B101" s="5">
        <v>4.88</v>
      </c>
    </row>
    <row r="102" spans="1:2" x14ac:dyDescent="0.3">
      <c r="A102" s="4" t="s">
        <v>74</v>
      </c>
      <c r="B102" s="5">
        <v>3.91</v>
      </c>
    </row>
    <row r="103" spans="1:2" x14ac:dyDescent="0.3">
      <c r="A103" s="4" t="s">
        <v>34</v>
      </c>
      <c r="B103" s="5">
        <v>7.57</v>
      </c>
    </row>
    <row r="104" spans="1:2" x14ac:dyDescent="0.3">
      <c r="A104" s="4" t="s">
        <v>17</v>
      </c>
      <c r="B104" s="5">
        <v>12.88</v>
      </c>
    </row>
    <row r="105" spans="1:2" x14ac:dyDescent="0.3">
      <c r="A105" s="4" t="s">
        <v>142</v>
      </c>
      <c r="B105" s="5">
        <v>2.83</v>
      </c>
    </row>
    <row r="106" spans="1:2" x14ac:dyDescent="0.3">
      <c r="A106" s="4" t="s">
        <v>153</v>
      </c>
      <c r="B106" s="5">
        <v>3.8200000000000003</v>
      </c>
    </row>
    <row r="107" spans="1:2" x14ac:dyDescent="0.3">
      <c r="A107" s="4" t="s">
        <v>284</v>
      </c>
      <c r="B107" s="5">
        <v>3.3</v>
      </c>
    </row>
    <row r="108" spans="1:2" x14ac:dyDescent="0.3">
      <c r="A108" s="4" t="s">
        <v>780</v>
      </c>
      <c r="B108" s="5">
        <v>51.569999999999993</v>
      </c>
    </row>
    <row r="114" spans="1:7" x14ac:dyDescent="0.3">
      <c r="F114" t="s">
        <v>779</v>
      </c>
      <c r="G114" t="s">
        <v>771</v>
      </c>
    </row>
    <row r="115" spans="1:7" x14ac:dyDescent="0.3">
      <c r="A115" s="3" t="s">
        <v>779</v>
      </c>
      <c r="B115" t="s">
        <v>771</v>
      </c>
      <c r="F115" t="s">
        <v>73</v>
      </c>
      <c r="G115">
        <v>5.33</v>
      </c>
    </row>
    <row r="116" spans="1:7" x14ac:dyDescent="0.3">
      <c r="A116" s="4" t="s">
        <v>306</v>
      </c>
      <c r="B116" s="5">
        <v>1.57</v>
      </c>
      <c r="F116" t="s">
        <v>781</v>
      </c>
      <c r="G116">
        <v>5.32</v>
      </c>
    </row>
    <row r="117" spans="1:7" x14ac:dyDescent="0.3">
      <c r="A117" s="4" t="s">
        <v>85</v>
      </c>
      <c r="B117" s="5">
        <v>2.54</v>
      </c>
      <c r="F117" t="s">
        <v>25</v>
      </c>
      <c r="G117">
        <v>6.5</v>
      </c>
    </row>
    <row r="118" spans="1:7" x14ac:dyDescent="0.3">
      <c r="A118" s="4" t="s">
        <v>100</v>
      </c>
      <c r="B118" s="5">
        <v>1.69</v>
      </c>
      <c r="F118" t="s">
        <v>782</v>
      </c>
      <c r="G118">
        <v>5.65</v>
      </c>
    </row>
    <row r="119" spans="1:7" x14ac:dyDescent="0.3">
      <c r="A119" s="4" t="s">
        <v>58</v>
      </c>
      <c r="B119" s="5">
        <v>1.87</v>
      </c>
      <c r="F119" t="s">
        <v>783</v>
      </c>
      <c r="G119">
        <v>6.04</v>
      </c>
    </row>
    <row r="120" spans="1:7" x14ac:dyDescent="0.3">
      <c r="A120" s="4" t="s">
        <v>95</v>
      </c>
      <c r="B120" s="5">
        <v>2.23</v>
      </c>
      <c r="F120" t="s">
        <v>784</v>
      </c>
      <c r="G120">
        <v>7.2</v>
      </c>
    </row>
    <row r="121" spans="1:7" x14ac:dyDescent="0.3">
      <c r="A121" s="4" t="s">
        <v>74</v>
      </c>
      <c r="B121" s="5">
        <v>2.67</v>
      </c>
      <c r="F121" t="s">
        <v>785</v>
      </c>
      <c r="G121">
        <v>10.220000000000001</v>
      </c>
    </row>
    <row r="122" spans="1:7" x14ac:dyDescent="0.3">
      <c r="A122" s="4" t="s">
        <v>147</v>
      </c>
      <c r="B122" s="5">
        <v>1.27</v>
      </c>
      <c r="F122" t="s">
        <v>786</v>
      </c>
      <c r="G122">
        <v>5.38</v>
      </c>
    </row>
    <row r="123" spans="1:7" x14ac:dyDescent="0.3">
      <c r="A123" s="4" t="s">
        <v>34</v>
      </c>
      <c r="B123" s="5">
        <v>4.13</v>
      </c>
      <c r="F123" t="s">
        <v>15</v>
      </c>
      <c r="G123">
        <v>6.96</v>
      </c>
    </row>
    <row r="124" spans="1:7" x14ac:dyDescent="0.3">
      <c r="A124" s="4" t="s">
        <v>17</v>
      </c>
      <c r="B124" s="5">
        <v>3.79</v>
      </c>
      <c r="F124" t="s">
        <v>23</v>
      </c>
      <c r="G124">
        <v>6.0299999999999994</v>
      </c>
    </row>
    <row r="125" spans="1:7" x14ac:dyDescent="0.3">
      <c r="A125" s="4" t="s">
        <v>108</v>
      </c>
      <c r="B125" s="5">
        <v>3.81</v>
      </c>
      <c r="F125" t="s">
        <v>780</v>
      </c>
      <c r="G125">
        <v>64.63</v>
      </c>
    </row>
    <row r="126" spans="1:7" x14ac:dyDescent="0.3">
      <c r="A126" s="4" t="s">
        <v>780</v>
      </c>
      <c r="B126" s="5">
        <v>25.569999999999997</v>
      </c>
    </row>
    <row r="133" spans="1:4" x14ac:dyDescent="0.3">
      <c r="A133" s="3" t="s">
        <v>779</v>
      </c>
      <c r="B133" t="s">
        <v>769</v>
      </c>
      <c r="C133" t="s">
        <v>779</v>
      </c>
      <c r="D133" t="s">
        <v>769</v>
      </c>
    </row>
    <row r="134" spans="1:4" x14ac:dyDescent="0.3">
      <c r="A134" s="4" t="s">
        <v>85</v>
      </c>
      <c r="B134" s="5">
        <v>10.95</v>
      </c>
      <c r="C134" t="s">
        <v>41</v>
      </c>
      <c r="D134">
        <f>B134</f>
        <v>10.95</v>
      </c>
    </row>
    <row r="135" spans="1:4" x14ac:dyDescent="0.3">
      <c r="A135" s="4" t="s">
        <v>100</v>
      </c>
      <c r="B135" s="5">
        <v>9.49</v>
      </c>
      <c r="C135" t="s">
        <v>17</v>
      </c>
      <c r="D135">
        <f t="shared" ref="D135:D144" si="0">B135</f>
        <v>9.49</v>
      </c>
    </row>
    <row r="136" spans="1:4" x14ac:dyDescent="0.3">
      <c r="A136" s="4" t="s">
        <v>58</v>
      </c>
      <c r="B136" s="5">
        <v>14.98</v>
      </c>
      <c r="C136" t="s">
        <v>25</v>
      </c>
      <c r="D136">
        <f t="shared" si="0"/>
        <v>14.98</v>
      </c>
    </row>
    <row r="137" spans="1:4" x14ac:dyDescent="0.3">
      <c r="A137" s="4" t="s">
        <v>79</v>
      </c>
      <c r="B137" s="5">
        <v>11.66</v>
      </c>
      <c r="C137" t="s">
        <v>29</v>
      </c>
      <c r="D137">
        <f t="shared" si="0"/>
        <v>11.66</v>
      </c>
    </row>
    <row r="138" spans="1:4" x14ac:dyDescent="0.3">
      <c r="A138" s="4" t="s">
        <v>88</v>
      </c>
      <c r="B138" s="5">
        <v>10.77</v>
      </c>
      <c r="C138" t="s">
        <v>20</v>
      </c>
      <c r="D138">
        <f t="shared" si="0"/>
        <v>10.77</v>
      </c>
    </row>
    <row r="139" spans="1:4" x14ac:dyDescent="0.3">
      <c r="A139" s="4" t="s">
        <v>95</v>
      </c>
      <c r="B139" s="5">
        <v>9.8699999999999992</v>
      </c>
      <c r="C139" t="s">
        <v>15</v>
      </c>
      <c r="D139">
        <f t="shared" si="0"/>
        <v>9.8699999999999992</v>
      </c>
    </row>
    <row r="140" spans="1:4" x14ac:dyDescent="0.3">
      <c r="A140" s="4" t="s">
        <v>74</v>
      </c>
      <c r="B140" s="5">
        <v>12.21</v>
      </c>
      <c r="C140" t="s">
        <v>23</v>
      </c>
      <c r="D140">
        <f t="shared" si="0"/>
        <v>12.21</v>
      </c>
    </row>
    <row r="141" spans="1:4" x14ac:dyDescent="0.3">
      <c r="A141" s="4" t="s">
        <v>34</v>
      </c>
      <c r="B141" s="5">
        <v>23.42</v>
      </c>
      <c r="C141" t="s">
        <v>27</v>
      </c>
      <c r="D141">
        <f t="shared" si="0"/>
        <v>23.42</v>
      </c>
    </row>
    <row r="142" spans="1:4" x14ac:dyDescent="0.3">
      <c r="A142" s="4" t="s">
        <v>17</v>
      </c>
      <c r="B142" s="5">
        <v>35.82</v>
      </c>
      <c r="C142" t="s">
        <v>11</v>
      </c>
      <c r="D142">
        <f t="shared" si="0"/>
        <v>35.82</v>
      </c>
    </row>
    <row r="143" spans="1:4" x14ac:dyDescent="0.3">
      <c r="A143" s="4" t="s">
        <v>153</v>
      </c>
      <c r="B143" s="5">
        <v>9.18</v>
      </c>
      <c r="C143" t="s">
        <v>19</v>
      </c>
      <c r="D143">
        <f t="shared" si="0"/>
        <v>9.18</v>
      </c>
    </row>
    <row r="144" spans="1:4" x14ac:dyDescent="0.3">
      <c r="A144" s="4" t="s">
        <v>780</v>
      </c>
      <c r="B144" s="5">
        <v>148.35000000000002</v>
      </c>
      <c r="C144" t="s">
        <v>780</v>
      </c>
      <c r="D144">
        <f t="shared" si="0"/>
        <v>148.35000000000002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70A6C-836A-4337-AA83-196B37E9A653}">
  <dimension ref="T21"/>
  <sheetViews>
    <sheetView tabSelected="1" topLeftCell="I5" zoomScale="76" workbookViewId="0">
      <selection activeCell="AG27" sqref="AG27"/>
    </sheetView>
  </sheetViews>
  <sheetFormatPr defaultRowHeight="14.4" x14ac:dyDescent="0.3"/>
  <cols>
    <col min="1" max="16384" width="8.88671875" style="6"/>
  </cols>
  <sheetData>
    <row r="21" spans="20:20" x14ac:dyDescent="0.3">
      <c r="T21" s="6">
        <f>-R12</f>
        <v>0</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vgsales</vt:lpstr>
      <vt:lpstr>SUMMARY</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dc:creator>
  <cp:lastModifiedBy>yash</cp:lastModifiedBy>
  <dcterms:created xsi:type="dcterms:W3CDTF">2025-07-29T06:49:47Z</dcterms:created>
  <dcterms:modified xsi:type="dcterms:W3CDTF">2025-12-08T17:18:43Z</dcterms:modified>
</cp:coreProperties>
</file>